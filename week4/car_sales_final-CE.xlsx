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24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25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3DD1\EXCELCNV\fe4a3ad8-6478-4e4e-b911-e2835e8e45a9\"/>
    </mc:Choice>
  </mc:AlternateContent>
  <xr:revisionPtr revIDLastSave="0" documentId="8_{6EBE7BCD-5A31-4D15-B5C9-924856837952}" xr6:coauthVersionLast="47" xr6:coauthVersionMax="47" xr10:uidLastSave="{00000000-0000-0000-0000-000000000000}"/>
  <bookViews>
    <workbookView xWindow="-60" yWindow="-60" windowWidth="15480" windowHeight="11640" firstSheet="11" activeTab="15" xr2:uid="{1977BA7A-3BD1-4CBB-967F-34529ED38CDE}"/>
  </bookViews>
  <sheets>
    <sheet name="raw" sheetId="1" r:id="rId1"/>
    <sheet name="Data Dictionary" sheetId="2" r:id="rId2"/>
    <sheet name="Cleaning Log" sheetId="3" r:id="rId3"/>
    <sheet name="Clean" sheetId="4" r:id="rId4"/>
    <sheet name="Sales by Vehicle Category" sheetId="5" r:id="rId5"/>
    <sheet name="Sales by Time Period" sheetId="6" r:id="rId6"/>
    <sheet name="Sales over Time by Category" sheetId="15" r:id="rId7"/>
    <sheet name="Sales over Time by Type" sheetId="16" r:id="rId8"/>
    <sheet name="Regional Performance" sheetId="7" r:id="rId9"/>
    <sheet name="Avg Sale Price by Make &amp; Model" sheetId="8" r:id="rId10"/>
    <sheet name="Bar Charts" sheetId="9" r:id="rId11"/>
    <sheet name="Line Charts" sheetId="10" r:id="rId12"/>
    <sheet name="Pie &amp; Doughnut Charts" sheetId="12" r:id="rId13"/>
    <sheet name="Dual Axis Chart" sheetId="11" r:id="rId14"/>
    <sheet name="100% Stacked Area Chart" sheetId="13" r:id="rId15"/>
    <sheet name="Stacked Column Chart" sheetId="18" r:id="rId16"/>
    <sheet name="Trends and patterns" sheetId="14" r:id="rId17"/>
    <sheet name="Recommendations" sheetId="19" r:id="rId18"/>
  </sheets>
  <calcPr calcId="191028"/>
  <pivotCaches>
    <pivotCache cacheId="840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<sst xmlns="http://schemas.openxmlformats.org/spreadsheetml/2006/main" count="4739" uniqueCount="872">
  <si>
    <t>VIN</t>
  </si>
  <si>
    <t>Make</t>
  </si>
  <si>
    <t>Model</t>
  </si>
  <si>
    <t>Vehicle_Category</t>
  </si>
  <si>
    <t>Vehicle_Sub_Category</t>
  </si>
  <si>
    <t>Market_Segment</t>
  </si>
  <si>
    <t>Sale_Price</t>
  </si>
  <si>
    <t>Sale_Price_Segment</t>
  </si>
  <si>
    <t>Customer_Name</t>
  </si>
  <si>
    <t>Customer_Email</t>
  </si>
  <si>
    <t>Dealer_Name</t>
  </si>
  <si>
    <t>Dealer_Region</t>
  </si>
  <si>
    <t>Fuel_Type</t>
  </si>
  <si>
    <t>Engine_Size</t>
  </si>
  <si>
    <t>Color</t>
  </si>
  <si>
    <t>Mileage</t>
  </si>
  <si>
    <t>Model_Year</t>
  </si>
  <si>
    <t>Sales_Date_A</t>
  </si>
  <si>
    <t>Sales_Date_B</t>
  </si>
  <si>
    <t>Quarter</t>
  </si>
  <si>
    <t>1HGBH41JXMN109186</t>
  </si>
  <si>
    <t>Honda</t>
  </si>
  <si>
    <t>Civic</t>
  </si>
  <si>
    <t>Sedan</t>
  </si>
  <si>
    <t>Subcompact/Compact Car</t>
  </si>
  <si>
    <t>Standard</t>
  </si>
  <si>
    <t>Under $25,000</t>
  </si>
  <si>
    <t>John Smith</t>
  </si>
  <si>
    <t>john.smith@email.com</t>
  </si>
  <si>
    <t>Metro Honda</t>
  </si>
  <si>
    <t>Northeast</t>
  </si>
  <si>
    <t>Gasoline</t>
  </si>
  <si>
    <t>1.5L</t>
  </si>
  <si>
    <t>Blue</t>
  </si>
  <si>
    <t>Jan 2024</t>
  </si>
  <si>
    <t>Q1</t>
  </si>
  <si>
    <t>2T1BURHE0JC054321</t>
  </si>
  <si>
    <t>Toyota</t>
  </si>
  <si>
    <t>Corolla</t>
  </si>
  <si>
    <t>sedan</t>
  </si>
  <si>
    <t>Under $25,001</t>
  </si>
  <si>
    <t>Sarah Johnson</t>
  </si>
  <si>
    <t>sarah.j@gmail.com</t>
  </si>
  <si>
    <t>Toyota Center</t>
  </si>
  <si>
    <t>West</t>
  </si>
  <si>
    <t>gasoline</t>
  </si>
  <si>
    <t>1.8L</t>
  </si>
  <si>
    <t>White</t>
  </si>
  <si>
    <t>3N1AB7AP9HY123456</t>
  </si>
  <si>
    <t>Nissan</t>
  </si>
  <si>
    <t>Altima</t>
  </si>
  <si>
    <t>Full-Size Car</t>
  </si>
  <si>
    <t>$25KÂ–$39.9K</t>
  </si>
  <si>
    <t>Mike Davis</t>
  </si>
  <si>
    <t>m.davis@yahoo.com</t>
  </si>
  <si>
    <t>2.5L</t>
  </si>
  <si>
    <t>Silver</t>
  </si>
  <si>
    <t>Feb 2024</t>
  </si>
  <si>
    <t>5NPE34AF5KH654321</t>
  </si>
  <si>
    <t>Hyundai</t>
  </si>
  <si>
    <t>Elantra</t>
  </si>
  <si>
    <t>Lisa Chen</t>
  </si>
  <si>
    <t>lisa.chen@outlook.com</t>
  </si>
  <si>
    <t>Hyundai Plus</t>
  </si>
  <si>
    <t>2.0L</t>
  </si>
  <si>
    <t>Red</t>
  </si>
  <si>
    <t>KMHCT4AE9CU987654</t>
  </si>
  <si>
    <t>Tucson</t>
  </si>
  <si>
    <t>SUV</t>
  </si>
  <si>
    <t>Mid/Full-Size SUV</t>
  </si>
  <si>
    <t>Robert Wilson</t>
  </si>
  <si>
    <t>rwilson@email.com</t>
  </si>
  <si>
    <t>2.4L</t>
  </si>
  <si>
    <t>Black</t>
  </si>
  <si>
    <t>1C4RJFAG8KC321654</t>
  </si>
  <si>
    <t>Jeep</t>
  </si>
  <si>
    <t>Grand Cherokee</t>
  </si>
  <si>
    <t>Compact SUV</t>
  </si>
  <si>
    <t>Amanda Taylor</t>
  </si>
  <si>
    <t>a.taylor@gmail.com</t>
  </si>
  <si>
    <t>Jeep Nation</t>
  </si>
  <si>
    <t>South</t>
  </si>
  <si>
    <t>3.6L</t>
  </si>
  <si>
    <t>Gray</t>
  </si>
  <si>
    <t>1FTFW1ET5EKF12345</t>
  </si>
  <si>
    <t>Ford</t>
  </si>
  <si>
    <t>F-150</t>
  </si>
  <si>
    <t>Truck</t>
  </si>
  <si>
    <t>Pickup Truck</t>
  </si>
  <si>
    <t>$40KÂ–$59.9K</t>
  </si>
  <si>
    <t>David Brown</t>
  </si>
  <si>
    <t>david.brown@email.com</t>
  </si>
  <si>
    <t>Ford Country</t>
  </si>
  <si>
    <t>Midwest</t>
  </si>
  <si>
    <t>5.0L</t>
  </si>
  <si>
    <t>1G1ZT51806F123456</t>
  </si>
  <si>
    <t>Chevrolet</t>
  </si>
  <si>
    <t>Malibu</t>
  </si>
  <si>
    <t>chevy.fan@gmail.com</t>
  </si>
  <si>
    <t>Chevy World</t>
  </si>
  <si>
    <t>WBA8E9G50HNU12345</t>
  </si>
  <si>
    <t>BMW</t>
  </si>
  <si>
    <t>X3</t>
  </si>
  <si>
    <t>Luxury/Performance</t>
  </si>
  <si>
    <t>Jennifer Garcia</t>
  </si>
  <si>
    <t>j.garcia@email.com</t>
  </si>
  <si>
    <t>BMW Elite</t>
  </si>
  <si>
    <t>Mar 2024</t>
  </si>
  <si>
    <t>5YJSA1E26JF123456</t>
  </si>
  <si>
    <t>Tesla</t>
  </si>
  <si>
    <t>Model S</t>
  </si>
  <si>
    <t>$60KÂ–$89.9K</t>
  </si>
  <si>
    <t>Michael Rodriguez</t>
  </si>
  <si>
    <t>mrodriguez@email.com</t>
  </si>
  <si>
    <t>Tesla Direct</t>
  </si>
  <si>
    <t>Electric</t>
  </si>
  <si>
    <t>1HGCV1F36JA123456</t>
  </si>
  <si>
    <t>Accord</t>
  </si>
  <si>
    <t>Patricia Martinez</t>
  </si>
  <si>
    <t>p.martinez@gmail.com</t>
  </si>
  <si>
    <t>metro honda</t>
  </si>
  <si>
    <t>4T1BF1FK8EU123456</t>
  </si>
  <si>
    <t>Camry</t>
  </si>
  <si>
    <t>James Anderson</t>
  </si>
  <si>
    <t>james.anderson@email.com</t>
  </si>
  <si>
    <t>Hybrid</t>
  </si>
  <si>
    <t>1N4AL3AP8JC123456</t>
  </si>
  <si>
    <t>Mary Thomas</t>
  </si>
  <si>
    <t>mthomas@email.com</t>
  </si>
  <si>
    <t>Nissan Direct</t>
  </si>
  <si>
    <t>KM8J3CA46JU123456</t>
  </si>
  <si>
    <t>Santa Fe</t>
  </si>
  <si>
    <t>Christopher Jackson</t>
  </si>
  <si>
    <t>c.jackson@gmail.com</t>
  </si>
  <si>
    <t>1C4RJFBG3KC123456</t>
  </si>
  <si>
    <t>Elizabeth White</t>
  </si>
  <si>
    <t>e.white@email.com</t>
  </si>
  <si>
    <t>jeep nation</t>
  </si>
  <si>
    <t>1FTEW1E50JKF12345</t>
  </si>
  <si>
    <t>Daniel Harris</t>
  </si>
  <si>
    <t>d.harris@email.com</t>
  </si>
  <si>
    <t>1G1ZB5ST8JF123456</t>
  </si>
  <si>
    <t>Cruze</t>
  </si>
  <si>
    <t>Susan Martin</t>
  </si>
  <si>
    <t>s.martin@gmail.com</t>
  </si>
  <si>
    <t>1.4L</t>
  </si>
  <si>
    <t>Apr 2024</t>
  </si>
  <si>
    <t>Q2</t>
  </si>
  <si>
    <t>WBA8E9G59HNU12346</t>
  </si>
  <si>
    <t>X5</t>
  </si>
  <si>
    <t>Joseph Thompson</t>
  </si>
  <si>
    <t>j.thompson@email.com</t>
  </si>
  <si>
    <t>3.0L</t>
  </si>
  <si>
    <t>5YJSA1E27JF123457</t>
  </si>
  <si>
    <t>Model 3</t>
  </si>
  <si>
    <t>Nancy Garcia</t>
  </si>
  <si>
    <t>n.garcia@email.com</t>
  </si>
  <si>
    <t>1HGCV1F37JA123457</t>
  </si>
  <si>
    <t>Kenneth Lee</t>
  </si>
  <si>
    <t>k.lee@gmail.com</t>
  </si>
  <si>
    <t>4T1BF1FK9EU123457</t>
  </si>
  <si>
    <t>Prius</t>
  </si>
  <si>
    <t>Linda Wilson</t>
  </si>
  <si>
    <t>l.wilson@email.com</t>
  </si>
  <si>
    <t>toyota center</t>
  </si>
  <si>
    <t>1N4AL3AP9JC123457</t>
  </si>
  <si>
    <t>Sentra</t>
  </si>
  <si>
    <t>Betty Moore</t>
  </si>
  <si>
    <t>b.moore@email.com</t>
  </si>
  <si>
    <t>1.6L</t>
  </si>
  <si>
    <t>KM8J3CA47JU123457</t>
  </si>
  <si>
    <t>Mark Taylor</t>
  </si>
  <si>
    <t>m.taylor@gmail.com</t>
  </si>
  <si>
    <t>1C4RJFBG4KC123457</t>
  </si>
  <si>
    <t>Wrangler</t>
  </si>
  <si>
    <t>Dorothy Anderson</t>
  </si>
  <si>
    <t>d.anderson@email.com</t>
  </si>
  <si>
    <t>Green</t>
  </si>
  <si>
    <t>1FTEW1E51JKF12346</t>
  </si>
  <si>
    <t>Explorer</t>
  </si>
  <si>
    <t>Steven Thomas</t>
  </si>
  <si>
    <t>s.thomas@email.com</t>
  </si>
  <si>
    <t>2.3L</t>
  </si>
  <si>
    <t>1G1ZB5ST9JF123457</t>
  </si>
  <si>
    <t>Equinox</t>
  </si>
  <si>
    <t>Helen Jackson</t>
  </si>
  <si>
    <t>h.jackson@gmail.com</t>
  </si>
  <si>
    <t>chevy world</t>
  </si>
  <si>
    <t>WBA8E9G60HNU12347</t>
  </si>
  <si>
    <t>3 Series</t>
  </si>
  <si>
    <t>Edward White</t>
  </si>
  <si>
    <t>May 2024</t>
  </si>
  <si>
    <t>5YJSA1E28JF123458</t>
  </si>
  <si>
    <t>Model Y</t>
  </si>
  <si>
    <t>Donna Harris</t>
  </si>
  <si>
    <t>1HGCV1F38JA123458</t>
  </si>
  <si>
    <t>CR-V</t>
  </si>
  <si>
    <t>Frank Martin</t>
  </si>
  <si>
    <t>f.martin@gmail.com</t>
  </si>
  <si>
    <t>4T1BF1FK0EU123458</t>
  </si>
  <si>
    <t>RAV4</t>
  </si>
  <si>
    <t>Ruth Thompson</t>
  </si>
  <si>
    <t>r.thompson@email.com</t>
  </si>
  <si>
    <t>1N4AL3AP0JC123458</t>
  </si>
  <si>
    <t>Rogue</t>
  </si>
  <si>
    <t>Joe Garcia</t>
  </si>
  <si>
    <t>nissan direct</t>
  </si>
  <si>
    <t>KM8J3CA48JU123458</t>
  </si>
  <si>
    <t>Sonata</t>
  </si>
  <si>
    <t>Frances Lee</t>
  </si>
  <si>
    <t>f.lee@gmail.com</t>
  </si>
  <si>
    <t>1C4RJFBG5KC123458</t>
  </si>
  <si>
    <t>Compass</t>
  </si>
  <si>
    <t>Raymond Wilson</t>
  </si>
  <si>
    <t>r.wilson@email.com</t>
  </si>
  <si>
    <t>1FTEW1E52JKF12347</t>
  </si>
  <si>
    <t>Escape</t>
  </si>
  <si>
    <t>Marie Moore</t>
  </si>
  <si>
    <t>m.moore@email.com</t>
  </si>
  <si>
    <t>1G1ZB5ST0JF123458</t>
  </si>
  <si>
    <t>Traverse</t>
  </si>
  <si>
    <t>Albert Taylor</t>
  </si>
  <si>
    <t>WBA8E9G61HNU12348</t>
  </si>
  <si>
    <t>X1</t>
  </si>
  <si>
    <t>Gloria Anderson</t>
  </si>
  <si>
    <t>g.anderson@email.com</t>
  </si>
  <si>
    <t>5YJSA1E29JF123459</t>
  </si>
  <si>
    <t>Model X</t>
  </si>
  <si>
    <t>$90KÂ–$129.9K</t>
  </si>
  <si>
    <t>Willie Thomas</t>
  </si>
  <si>
    <t>w.thomas@email.com</t>
  </si>
  <si>
    <t>tesla direct</t>
  </si>
  <si>
    <t>1HGCV1F39JA123459</t>
  </si>
  <si>
    <t>Pilot</t>
  </si>
  <si>
    <t>Jean Jackson</t>
  </si>
  <si>
    <t>j.jackson@gmail.com</t>
  </si>
  <si>
    <t>3.5L</t>
  </si>
  <si>
    <t>4T1BF1FK1EU123459</t>
  </si>
  <si>
    <t>Highlander</t>
  </si>
  <si>
    <t>Ralph White</t>
  </si>
  <si>
    <t>r.white@email.com</t>
  </si>
  <si>
    <t>Jun 2024</t>
  </si>
  <si>
    <t>1N4AL3AP1JC123459</t>
  </si>
  <si>
    <t>Murano</t>
  </si>
  <si>
    <t>Evelyn Harris</t>
  </si>
  <si>
    <t>e.harris@email.com</t>
  </si>
  <si>
    <t>KM8J3CA49JU123459</t>
  </si>
  <si>
    <t>Genesis</t>
  </si>
  <si>
    <t>Wayne Martin</t>
  </si>
  <si>
    <t>w.martin@gmail.com</t>
  </si>
  <si>
    <t>hyundai plus</t>
  </si>
  <si>
    <t>3.3L</t>
  </si>
  <si>
    <t>1C4RJFBG6KC123459</t>
  </si>
  <si>
    <t>Cherokee</t>
  </si>
  <si>
    <t>Kathryn Thompson</t>
  </si>
  <si>
    <t>k.thompson@email.com</t>
  </si>
  <si>
    <t>1FTEW1E53JKF12348</t>
  </si>
  <si>
    <t>Mustang</t>
  </si>
  <si>
    <t>Coupe</t>
  </si>
  <si>
    <t>Sports Coupe</t>
  </si>
  <si>
    <t>Arthur Garcia</t>
  </si>
  <si>
    <t>a.garcia@email.com</t>
  </si>
  <si>
    <t>1G1ZB5ST1JF123459</t>
  </si>
  <si>
    <t>Camaro</t>
  </si>
  <si>
    <t>WBA8E9G62HNU12349</t>
  </si>
  <si>
    <t>4 Series</t>
  </si>
  <si>
    <t>Luxury Coupe</t>
  </si>
  <si>
    <t>Harold Wilson</t>
  </si>
  <si>
    <t>h.wilson@email.com</t>
  </si>
  <si>
    <t>1HGCV1F40JA123460</t>
  </si>
  <si>
    <t>Ridgeline</t>
  </si>
  <si>
    <t>Virginia Moore</t>
  </si>
  <si>
    <t>v.moore@email.com</t>
  </si>
  <si>
    <t>4T1BF1FK2EU123460</t>
  </si>
  <si>
    <t>Tacoma</t>
  </si>
  <si>
    <t>Roy Taylor</t>
  </si>
  <si>
    <t>r.taylor@email.com</t>
  </si>
  <si>
    <t>2.7L</t>
  </si>
  <si>
    <t>1N4AL3AP2JC123460</t>
  </si>
  <si>
    <t>Titan</t>
  </si>
  <si>
    <t>Shirley Anderson</t>
  </si>
  <si>
    <t>s.anderson@email.com</t>
  </si>
  <si>
    <t>5.6L</t>
  </si>
  <si>
    <t>1FTEW1E54JKF12349</t>
  </si>
  <si>
    <t>Ranger</t>
  </si>
  <si>
    <t>Louis Thomas</t>
  </si>
  <si>
    <t>l.thomas@email.com</t>
  </si>
  <si>
    <t>1G1ZB5ST2JF123460</t>
  </si>
  <si>
    <t>Silverado</t>
  </si>
  <si>
    <t>Ann Jackson</t>
  </si>
  <si>
    <t>a.jackson@gmail.com</t>
  </si>
  <si>
    <t>4.3L</t>
  </si>
  <si>
    <t>5YJSA1E30JF123461</t>
  </si>
  <si>
    <t>Cybertruck</t>
  </si>
  <si>
    <t>Eugene White</t>
  </si>
  <si>
    <t>e.white2@email.com</t>
  </si>
  <si>
    <t>1HGCV1F41JA123461</t>
  </si>
  <si>
    <t>Insight</t>
  </si>
  <si>
    <t>Diane Harris</t>
  </si>
  <si>
    <t>d.harris2@email.com</t>
  </si>
  <si>
    <t>Jul 2024</t>
  </si>
  <si>
    <t>Q3</t>
  </si>
  <si>
    <t>4T1BF1FK3EU123461</t>
  </si>
  <si>
    <t>Avalon</t>
  </si>
  <si>
    <t>Philip Martin</t>
  </si>
  <si>
    <t>p.martin@email.com</t>
  </si>
  <si>
    <t>1N4AL3AP3JC123461</t>
  </si>
  <si>
    <t>Maxima</t>
  </si>
  <si>
    <t>Joyce Thompson</t>
  </si>
  <si>
    <t>j.thompson2@email.com</t>
  </si>
  <si>
    <t>KM8J3CA50JU123461</t>
  </si>
  <si>
    <t>Accent</t>
  </si>
  <si>
    <t>Bobby Garcia</t>
  </si>
  <si>
    <t>b.garcia@email.com</t>
  </si>
  <si>
    <t>1C4RJFBG7KC123461</t>
  </si>
  <si>
    <t>Gladiator</t>
  </si>
  <si>
    <t>Gloria Lee</t>
  </si>
  <si>
    <t>g.lee@gmail.com</t>
  </si>
  <si>
    <t>Orange</t>
  </si>
  <si>
    <t>WBA8E9G63HNU12350</t>
  </si>
  <si>
    <t>7 Series</t>
  </si>
  <si>
    <t>Keith Wilson</t>
  </si>
  <si>
    <t>k.wilson@email.com</t>
  </si>
  <si>
    <t>5YJSA1E31JF123462</t>
  </si>
  <si>
    <t>Roadster</t>
  </si>
  <si>
    <t>Electric Vehicle</t>
  </si>
  <si>
    <t>Jacqueline Moore</t>
  </si>
  <si>
    <t>j.moore@email.com</t>
  </si>
  <si>
    <t>1HGCV1F42JA123462</t>
  </si>
  <si>
    <t>Passport</t>
  </si>
  <si>
    <t>Billy Taylor</t>
  </si>
  <si>
    <t>b.taylor@email.com</t>
  </si>
  <si>
    <t>4T1BF1FK4EU123462</t>
  </si>
  <si>
    <t>Sequoia</t>
  </si>
  <si>
    <t>Martha Anderson</t>
  </si>
  <si>
    <t>m.anderson@email.com</t>
  </si>
  <si>
    <t>5.7L</t>
  </si>
  <si>
    <t>1N4AL3AP4JC123462</t>
  </si>
  <si>
    <t>Armada</t>
  </si>
  <si>
    <t>Terry Thomas</t>
  </si>
  <si>
    <t>t.thomas@email.com</t>
  </si>
  <si>
    <t>KM8J3CA51JU123462</t>
  </si>
  <si>
    <t>Palisade</t>
  </si>
  <si>
    <t>Debra Jackson</t>
  </si>
  <si>
    <t>d.jackson@gmail.com</t>
  </si>
  <si>
    <t>3.8L</t>
  </si>
  <si>
    <t>1FTEW1E55JKF12350</t>
  </si>
  <si>
    <t>Bronco</t>
  </si>
  <si>
    <t>Gerald White</t>
  </si>
  <si>
    <t>g.white@email.com</t>
  </si>
  <si>
    <t>1G1ZB5ST3JF123462</t>
  </si>
  <si>
    <t>Tahoe</t>
  </si>
  <si>
    <t>Sandra Harris</t>
  </si>
  <si>
    <t>s.harris@email.com</t>
  </si>
  <si>
    <t>5.3L</t>
  </si>
  <si>
    <t>WBA8E9G64HNU12351</t>
  </si>
  <si>
    <t>8 Series</t>
  </si>
  <si>
    <t>Paul Martin</t>
  </si>
  <si>
    <t>p.martin2@email.com</t>
  </si>
  <si>
    <t>1HGCV1F43JA123463</t>
  </si>
  <si>
    <t>Odyssey</t>
  </si>
  <si>
    <t>Van</t>
  </si>
  <si>
    <t>Van/Minivan</t>
  </si>
  <si>
    <t>Betty Thompson</t>
  </si>
  <si>
    <t>b.thompson@email.com</t>
  </si>
  <si>
    <t>Aug 2024</t>
  </si>
  <si>
    <t>4T1BF1FK5EU123463</t>
  </si>
  <si>
    <t>Sienna</t>
  </si>
  <si>
    <t>Kenneth Garcia</t>
  </si>
  <si>
    <t>k.garcia@email.com</t>
  </si>
  <si>
    <t>1N4AL3AP5JC123463</t>
  </si>
  <si>
    <t>Quest</t>
  </si>
  <si>
    <t>Helen Lee</t>
  </si>
  <si>
    <t>h.lee@gmail.com</t>
  </si>
  <si>
    <t>KM8J3CA52JU123463</t>
  </si>
  <si>
    <t>Entourage</t>
  </si>
  <si>
    <t>Donald Wilson</t>
  </si>
  <si>
    <t>d.wilson@email.com</t>
  </si>
  <si>
    <t>1FTEW1E56JKF12351</t>
  </si>
  <si>
    <t>Transit</t>
  </si>
  <si>
    <t>1G1ZB5ST4JF123463</t>
  </si>
  <si>
    <t>Express</t>
  </si>
  <si>
    <t>George Taylor</t>
  </si>
  <si>
    <t>g.taylor@email.com</t>
  </si>
  <si>
    <t>5YJSA1E32JF123464</t>
  </si>
  <si>
    <t>Semi</t>
  </si>
  <si>
    <t>Over $130K</t>
  </si>
  <si>
    <t>Maria Anderson</t>
  </si>
  <si>
    <t>m.anderson2@email.com</t>
  </si>
  <si>
    <t>1HGCV1F44JA123464</t>
  </si>
  <si>
    <t>Element</t>
  </si>
  <si>
    <t>Edward Thomas</t>
  </si>
  <si>
    <t>e.thomas@email.com</t>
  </si>
  <si>
    <t>4T1BF1FK6EU123464</t>
  </si>
  <si>
    <t>FJ Cruiser</t>
  </si>
  <si>
    <t>Michelle Jackson</t>
  </si>
  <si>
    <t>m.jackson@gmail.com</t>
  </si>
  <si>
    <t>4.0L</t>
  </si>
  <si>
    <t>Yellow</t>
  </si>
  <si>
    <t>1N4AL3AP6JC123464</t>
  </si>
  <si>
    <t>Xterra</t>
  </si>
  <si>
    <t>Thomas White</t>
  </si>
  <si>
    <t>t.white@email.com</t>
  </si>
  <si>
    <t>KM8J3CA53JU123464</t>
  </si>
  <si>
    <t>Veracruz</t>
  </si>
  <si>
    <t>Angela Harris</t>
  </si>
  <si>
    <t>a.harris@email.com</t>
  </si>
  <si>
    <t>1C4RJFBG8KC123464</t>
  </si>
  <si>
    <t>Commander</t>
  </si>
  <si>
    <t>Matthew Martin</t>
  </si>
  <si>
    <t>m.martin@gmail.com</t>
  </si>
  <si>
    <t>3.7L</t>
  </si>
  <si>
    <t>1FTEW1E57JKF12352</t>
  </si>
  <si>
    <t>Excursion</t>
  </si>
  <si>
    <t>Laura Thompson</t>
  </si>
  <si>
    <t>l.thompson@email.com</t>
  </si>
  <si>
    <t>5.4L</t>
  </si>
  <si>
    <t>1G1ZB5ST5JF123464</t>
  </si>
  <si>
    <t>Suburban</t>
  </si>
  <si>
    <t>Daniel Garcia</t>
  </si>
  <si>
    <t>d.garcia@email.com</t>
  </si>
  <si>
    <t>WBA8E9G65HNU12352</t>
  </si>
  <si>
    <t>i3</t>
  </si>
  <si>
    <t>Rebecca Lee</t>
  </si>
  <si>
    <t>r.lee@gmail.com</t>
  </si>
  <si>
    <t>1HGCV1F45JA123465</t>
  </si>
  <si>
    <t>Crosstour</t>
  </si>
  <si>
    <t>Ryan Wilson</t>
  </si>
  <si>
    <t>r.wilson2@email.com</t>
  </si>
  <si>
    <t>4T1BF1FK7EU123465</t>
  </si>
  <si>
    <t>Venza</t>
  </si>
  <si>
    <t>Amy Moore</t>
  </si>
  <si>
    <t>a.moore@email.com</t>
  </si>
  <si>
    <t>Sep 2024</t>
  </si>
  <si>
    <t>1N4AL3AP7JC123465</t>
  </si>
  <si>
    <t>Pathfinder</t>
  </si>
  <si>
    <t>Jason Taylor</t>
  </si>
  <si>
    <t>j.taylor@email.com</t>
  </si>
  <si>
    <t>KM8J3CA54JU123465</t>
  </si>
  <si>
    <t>Santa Fe Sport</t>
  </si>
  <si>
    <t>Nicole Anderson</t>
  </si>
  <si>
    <t>n.anderson@email.com</t>
  </si>
  <si>
    <t>1C4RJFBG9KC123465</t>
  </si>
  <si>
    <t>Patriot</t>
  </si>
  <si>
    <t>Brandon Thomas</t>
  </si>
  <si>
    <t>b.thomas@email.com</t>
  </si>
  <si>
    <t>1FTEW1E58JKF12353</t>
  </si>
  <si>
    <t>Edge</t>
  </si>
  <si>
    <t>Stephanie Jackson</t>
  </si>
  <si>
    <t>s.jackson@gmail.com</t>
  </si>
  <si>
    <t>1G1ZB5ST6JF123465</t>
  </si>
  <si>
    <t>Blazer</t>
  </si>
  <si>
    <t>Zachary White</t>
  </si>
  <si>
    <t>z.white@email.com</t>
  </si>
  <si>
    <t>5YJSA1E33JF123466</t>
  </si>
  <si>
    <t>Model Z</t>
  </si>
  <si>
    <t>Samantha Harris</t>
  </si>
  <si>
    <t>s.harris2@email.com</t>
  </si>
  <si>
    <t>1HGCV1F46JA123466</t>
  </si>
  <si>
    <t>Fit</t>
  </si>
  <si>
    <t>Gregory Martin</t>
  </si>
  <si>
    <t>g.martin@email.com</t>
  </si>
  <si>
    <t>4T1BF1FK8EU123466</t>
  </si>
  <si>
    <t>Yaris</t>
  </si>
  <si>
    <t>Christina Thompson</t>
  </si>
  <si>
    <t>c.thompson@email.com</t>
  </si>
  <si>
    <t>1N4AL3AP8JC123466</t>
  </si>
  <si>
    <t>Versa</t>
  </si>
  <si>
    <t>Patrick Garcia</t>
  </si>
  <si>
    <t>p.garcia@email.com</t>
  </si>
  <si>
    <t>KM8J3CA55JU123466</t>
  </si>
  <si>
    <t>Veloster</t>
  </si>
  <si>
    <t>Heather Lee</t>
  </si>
  <si>
    <t>h.lee2@gmail.com</t>
  </si>
  <si>
    <t>1C4RJFBG0KC123466</t>
  </si>
  <si>
    <t>Renegade</t>
  </si>
  <si>
    <t>Jonathan Wilson</t>
  </si>
  <si>
    <t>j.wilson@email.com</t>
  </si>
  <si>
    <t>1FTEW1E59JKF12354</t>
  </si>
  <si>
    <t>EcoSport</t>
  </si>
  <si>
    <t>Megan Moore</t>
  </si>
  <si>
    <t>m.moore2@email.com</t>
  </si>
  <si>
    <t>1.0L</t>
  </si>
  <si>
    <t>1G1ZB5ST7JF123466</t>
  </si>
  <si>
    <t>Spark</t>
  </si>
  <si>
    <t>Andrew Taylor</t>
  </si>
  <si>
    <t>a.taylor2@gmail.com</t>
  </si>
  <si>
    <t>WBA8E9G66HNU12353</t>
  </si>
  <si>
    <t>i8</t>
  </si>
  <si>
    <t>Hybrid Luxury Coupe</t>
  </si>
  <si>
    <t>Jennifer Anderson</t>
  </si>
  <si>
    <t>j.anderson@email.com</t>
  </si>
  <si>
    <t>1HGCV1F47JA123467</t>
  </si>
  <si>
    <t>HR-V</t>
  </si>
  <si>
    <t>Joshua Thomas</t>
  </si>
  <si>
    <t>j.thomas@email.com</t>
  </si>
  <si>
    <t>Oct 2024</t>
  </si>
  <si>
    <t>Q4</t>
  </si>
  <si>
    <t>4T1BF1FK9EU123467</t>
  </si>
  <si>
    <t>C-HR</t>
  </si>
  <si>
    <t>Amanda Jackson</t>
  </si>
  <si>
    <t>a.jackson2@gmail.com</t>
  </si>
  <si>
    <t>1N4AL3AP9JC123467</t>
  </si>
  <si>
    <t>Kicks</t>
  </si>
  <si>
    <t>Justin White</t>
  </si>
  <si>
    <t>j.white@email.com</t>
  </si>
  <si>
    <t>KM8J3CA56JU123467</t>
  </si>
  <si>
    <t>Kona</t>
  </si>
  <si>
    <t>Brittany Harris</t>
  </si>
  <si>
    <t>b.harris@email.com</t>
  </si>
  <si>
    <t>1C4RJFBG1KC123467</t>
  </si>
  <si>
    <t>Avenger</t>
  </si>
  <si>
    <t>Tyler Martin</t>
  </si>
  <si>
    <t>t.martin@gmail.com</t>
  </si>
  <si>
    <t>1.3L</t>
  </si>
  <si>
    <t>1FTEW1E60JKF12355</t>
  </si>
  <si>
    <t>Puma</t>
  </si>
  <si>
    <t>Danielle Thompson</t>
  </si>
  <si>
    <t>d.thompson@email.com</t>
  </si>
  <si>
    <t>1G1ZB5ST8JF123467</t>
  </si>
  <si>
    <t>Trailblazer</t>
  </si>
  <si>
    <t>Kyle Garcia</t>
  </si>
  <si>
    <t>5YJSA1E34JF123468</t>
  </si>
  <si>
    <t>Model A</t>
  </si>
  <si>
    <t>Rachel Lee</t>
  </si>
  <si>
    <t>r.lee2@gmail.com</t>
  </si>
  <si>
    <t>1HGCV1F48JA123468</t>
  </si>
  <si>
    <t>Clarity</t>
  </si>
  <si>
    <t>Sean Wilson</t>
  </si>
  <si>
    <t>s.wilson@email.com</t>
  </si>
  <si>
    <t>4T1BF1FK0EU123468</t>
  </si>
  <si>
    <t>Mirai</t>
  </si>
  <si>
    <t>Courtney Moore</t>
  </si>
  <si>
    <t>c.moore@email.com</t>
  </si>
  <si>
    <t>Hydrogen</t>
  </si>
  <si>
    <t>1N4AL3AP0JC123468</t>
  </si>
  <si>
    <t>Leaf</t>
  </si>
  <si>
    <t>Cody Taylor</t>
  </si>
  <si>
    <t>c.taylor@email.com</t>
  </si>
  <si>
    <t>KM8J3CA57JU123468</t>
  </si>
  <si>
    <t>Ioniq</t>
  </si>
  <si>
    <t>Alexis Anderson</t>
  </si>
  <si>
    <t>a.anderson2@email.com</t>
  </si>
  <si>
    <t>1C4RJFBG2KC123468</t>
  </si>
  <si>
    <t>4xe</t>
  </si>
  <si>
    <t>Devin Thomas</t>
  </si>
  <si>
    <t>d.thomas2@email.com</t>
  </si>
  <si>
    <t>hybrid</t>
  </si>
  <si>
    <t>1FTEW1E61JKF12356</t>
  </si>
  <si>
    <t>Lightning</t>
  </si>
  <si>
    <t>Kayla Jackson</t>
  </si>
  <si>
    <t>k.jackson@gmail.com</t>
  </si>
  <si>
    <t>1G1ZB5ST9JF123468</t>
  </si>
  <si>
    <t>Bolt</t>
  </si>
  <si>
    <t>Marcus White</t>
  </si>
  <si>
    <t>m.white@email.com</t>
  </si>
  <si>
    <t>WBA8E9G67HNU12354</t>
  </si>
  <si>
    <t>iX</t>
  </si>
  <si>
    <t>Alicia Harris</t>
  </si>
  <si>
    <t>a.harris2@email.com</t>
  </si>
  <si>
    <t>Nov 2024</t>
  </si>
  <si>
    <t>1HGCV1F49JA123469</t>
  </si>
  <si>
    <t>Prologue</t>
  </si>
  <si>
    <t>Trevor Martin</t>
  </si>
  <si>
    <t>t.martin2@gmail.com</t>
  </si>
  <si>
    <t>4T1BF1FK1EU123469</t>
  </si>
  <si>
    <t>bZ4X</t>
  </si>
  <si>
    <t>Jenna Thompson</t>
  </si>
  <si>
    <t>j.thompson3@email.com</t>
  </si>
  <si>
    <t>1N4AL3AP1JC123469</t>
  </si>
  <si>
    <t>Ariya</t>
  </si>
  <si>
    <t>Cameron Garcia</t>
  </si>
  <si>
    <t>c.garcia2@email.com</t>
  </si>
  <si>
    <t>electric</t>
  </si>
  <si>
    <t>KM8J3CA58JU123469</t>
  </si>
  <si>
    <t>IONIQ 5</t>
  </si>
  <si>
    <t>Morgan Lee</t>
  </si>
  <si>
    <t>m.lee@gmail.com</t>
  </si>
  <si>
    <t>1C4RJFBG3KC123469</t>
  </si>
  <si>
    <t>Grand Cherokee L</t>
  </si>
  <si>
    <t>Blake Wilson</t>
  </si>
  <si>
    <t>b.wilson@email.com</t>
  </si>
  <si>
    <t>1FTEW1E62JKF12357</t>
  </si>
  <si>
    <t>Maverick</t>
  </si>
  <si>
    <t>Sydney Moore</t>
  </si>
  <si>
    <t>s.moore@email.com</t>
  </si>
  <si>
    <t>1G1ZB5ST0JF123469</t>
  </si>
  <si>
    <t>Corvette</t>
  </si>
  <si>
    <t>Garrett Taylor</t>
  </si>
  <si>
    <t>g.taylor2@gmail.com</t>
  </si>
  <si>
    <t>6.2L</t>
  </si>
  <si>
    <t>5YJSA1E35JF123470</t>
  </si>
  <si>
    <t>Plaid</t>
  </si>
  <si>
    <t>Paige Anderson</t>
  </si>
  <si>
    <t>p.anderson@email.com</t>
  </si>
  <si>
    <t>1HGCV1F50JA123470</t>
  </si>
  <si>
    <t>Prelude</t>
  </si>
  <si>
    <t>Jared Thomas</t>
  </si>
  <si>
    <t>j.thomas2@email.com</t>
  </si>
  <si>
    <t>4T1BF1FK2EU123470</t>
  </si>
  <si>
    <t>GR86</t>
  </si>
  <si>
    <t>Sierra Jackson</t>
  </si>
  <si>
    <t>s.jackson2@gmail.com</t>
  </si>
  <si>
    <t>1N4AL3AP2JC123470</t>
  </si>
  <si>
    <t>Z</t>
  </si>
  <si>
    <t>Parker White</t>
  </si>
  <si>
    <t>p.white@email.com</t>
  </si>
  <si>
    <t>KM8J3CA59JU123470</t>
  </si>
  <si>
    <t>Elantra N</t>
  </si>
  <si>
    <t>Savannah Harris</t>
  </si>
  <si>
    <t>s.harris3@email.com</t>
  </si>
  <si>
    <t>1C4RJFBG4KC123470</t>
  </si>
  <si>
    <t>Wagoneer</t>
  </si>
  <si>
    <t>Hunter Martin</t>
  </si>
  <si>
    <t>h.martin@gmail.com</t>
  </si>
  <si>
    <t>1FTEW1E63JKF12358</t>
  </si>
  <si>
    <t>Bronco Sport</t>
  </si>
  <si>
    <t>Destiny Thompson</t>
  </si>
  <si>
    <t>d.thompson2@email.com</t>
  </si>
  <si>
    <t>1G1ZB5ST1JF123470</t>
  </si>
  <si>
    <t>Corvette Z06</t>
  </si>
  <si>
    <t>Colton Garcia</t>
  </si>
  <si>
    <t>c.garcia3@email.com</t>
  </si>
  <si>
    <t>5.5L</t>
  </si>
  <si>
    <t>Dec 2024</t>
  </si>
  <si>
    <t>WBA8E9G68HNU12355</t>
  </si>
  <si>
    <t>M3</t>
  </si>
  <si>
    <t>Autumn Lee</t>
  </si>
  <si>
    <t>a.lee@gmail.com</t>
  </si>
  <si>
    <t>1HGCV1F51JA123471</t>
  </si>
  <si>
    <t>Type R</t>
  </si>
  <si>
    <t>Dalton Wilson</t>
  </si>
  <si>
    <t>d.wilson2@email.com</t>
  </si>
  <si>
    <t>4T1BF1FK3EU123471</t>
  </si>
  <si>
    <t>Supra</t>
  </si>
  <si>
    <t>Other</t>
  </si>
  <si>
    <t>Brooke Moore</t>
  </si>
  <si>
    <t>1N4AL3AP3JC123471</t>
  </si>
  <si>
    <t>GT-R</t>
  </si>
  <si>
    <t>Easton Taylor</t>
  </si>
  <si>
    <t>e.taylor@gmail.com</t>
  </si>
  <si>
    <t>KM8J3CA60JU123471</t>
  </si>
  <si>
    <t>Genesis G90</t>
  </si>
  <si>
    <t>Peyton Anderson</t>
  </si>
  <si>
    <t>p.anderson2@email.com</t>
  </si>
  <si>
    <t>1C4RJFBG5KC123471</t>
  </si>
  <si>
    <t>Grand Wagoneer</t>
  </si>
  <si>
    <t>Bryce Thomas</t>
  </si>
  <si>
    <t>b.thomas2@email.com</t>
  </si>
  <si>
    <t>6.4L</t>
  </si>
  <si>
    <t>1FTEW1E64JKF12359</t>
  </si>
  <si>
    <t>Shelby GT500</t>
  </si>
  <si>
    <t>Madison Jackson</t>
  </si>
  <si>
    <t>m.jackson2@gmail.com</t>
  </si>
  <si>
    <t>5.2L</t>
  </si>
  <si>
    <t>1G1ZB5ST2JF123471</t>
  </si>
  <si>
    <t>ZL1</t>
  </si>
  <si>
    <t>Hayden White</t>
  </si>
  <si>
    <t>h.white@email.com</t>
  </si>
  <si>
    <t>5YJSA1E36JF123472</t>
  </si>
  <si>
    <t>Roadster 2.0</t>
  </si>
  <si>
    <t>Riley Harris</t>
  </si>
  <si>
    <t>r.harris@email.com</t>
  </si>
  <si>
    <t>Describes the raw tab as received. Post-cleaning column names and types are noted in the Description field where they differ; see Cleaning Log for the full audit trail.</t>
  </si>
  <si>
    <t>Column</t>
  </si>
  <si>
    <t>Data Type</t>
  </si>
  <si>
    <t>Description</t>
  </si>
  <si>
    <t>Text</t>
  </si>
  <si>
    <t>Vehicle Identification Number; alphanumeric</t>
  </si>
  <si>
    <t>Vehicle manufacturer: Honda, Toyota, Ford, etc.</t>
  </si>
  <si>
    <t>Vehicle model name: Civic, Corolla, F-150, etc.</t>
  </si>
  <si>
    <t>Body type: Sedan, Coupe, SUV, Truck, Van</t>
  </si>
  <si>
    <t>More granular body style: Compact SUV, Pickup Truck, Sports Coupe, etc.</t>
  </si>
  <si>
    <t>Segment label: "Standard" or "Luxury/Performance." Distinguishes Tesla/BMW from all other makes; not inherently a price tier</t>
  </si>
  <si>
    <t>Number</t>
  </si>
  <si>
    <t>Final sale price in USD</t>
  </si>
  <si>
    <t>Price bracket label: Under $25,000 - Over $130K</t>
  </si>
  <si>
    <t>Buyer's full name</t>
  </si>
  <si>
    <t>Buyer's email address</t>
  </si>
  <si>
    <t>Selling dealership name</t>
  </si>
  <si>
    <t>U.S. region of dealership: Northeast, West, South, Midwest</t>
  </si>
  <si>
    <t>Engine fuel type: Gasoline, Hybrid, Electric, Hydrogen</t>
  </si>
  <si>
    <t>Engine displacement (e.g., "1.5L", "2.4L"). Cleaned to numeric and renamed Engine_Size (L)</t>
  </si>
  <si>
    <t>Exterior color: Silver, White, Blue, etc.</t>
  </si>
  <si>
    <t>Odometer reading in miles (range: 500–48,000); integer</t>
  </si>
  <si>
    <t>Vehicle model year (range: 2016–2024); stored as float, not integer</t>
  </si>
  <si>
    <t>Sale date as YYYYMM code (e.g., 202401 = Jan 2024). Converted to Date Format (MMM-YY) and renamed Sales_Date</t>
  </si>
  <si>
    <t>Sale date as month-year string (e.g., "Jan 2024") — redundant with Sales_Date_A; removed during cleaning</t>
  </si>
  <si>
    <t>Sale quarter (Q1–Q4)</t>
  </si>
  <si>
    <t>Issue</t>
  </si>
  <si>
    <t>Action Taken</t>
  </si>
  <si>
    <t>Rationale</t>
  </si>
  <si>
    <t>Result</t>
  </si>
  <si>
    <t>Duplicate Rows</t>
  </si>
  <si>
    <t>Remove Duplicates Feature used  keying on VIN, Sale_Price, Customer_Name, Dealer_Name, Sales_Date</t>
  </si>
  <si>
    <t>VIN gives unique identifier for vehicle, Sale_Price for price info, Customer_Name for customer, Dealer_Name for dealer, Sales_Date for Month car sold</t>
  </si>
  <si>
    <t>Row 2 in Raw Data Deleted</t>
  </si>
  <si>
    <t>Missing Values</t>
  </si>
  <si>
    <t>Missing Values for Customer_Name, Dealer_Name, Color, Model_Year replaced with "Unknown"</t>
  </si>
  <si>
    <t>The missing fields are non-analytical identifiers, so the remaining values in those rows stay usable; labeling them "Unknown" preserves the rows for analysis while allowing them to be filtered out when that specific field matters</t>
  </si>
  <si>
    <t>4 cells changed to "Unknown"; one for each column listed</t>
  </si>
  <si>
    <t>Blank Engine_Size values replaced with "N/A (EV/Hydrogen)"</t>
  </si>
  <si>
    <t>All Blank Engine_Size rows are from hydrogen cars and electric vehicles, which do not have displacement based engines</t>
  </si>
  <si>
    <t>22 Engine_Size values changed to "N/A (EV/Hydrogen)"</t>
  </si>
  <si>
    <t>Inconsistent Formatting</t>
  </si>
  <si>
    <t>Vehicle_Category, Fuel_Type, Dealer_Name standardized with respect to capitalization</t>
  </si>
  <si>
    <t>COUNTIF/SUMIF/VLOOKUP, Pivot Tables, Remove Duplications, and Chart Groupings are not case-insensitive; same with downstream tools such as SQL, Python, Power BI, etc.</t>
  </si>
  <si>
    <t>Row 4 "sedan" to "Sedan"; 14 rows "gasoline" to "Gasoline"; Row 112 "hybrid" to "Hybrid"; Row 118 "electric" to "Electric"; 27 rows across 7 different Dealer_Name values</t>
  </si>
  <si>
    <t xml:space="preserve">Deleted corrupted character (Â) in Sale_Price_Segment labels </t>
  </si>
  <si>
    <t>Corrupted character would lead to incorrect additional classifications within groupings for that column</t>
  </si>
  <si>
    <t>Â deleted from 112 rows</t>
  </si>
  <si>
    <t>Typos</t>
  </si>
  <si>
    <t>Sale_Price_Segment in Row 4 corrected as to "Under $25,000"</t>
  </si>
  <si>
    <t>"Under $25,001" would be considered a separate group, when it actually should represent the "Under $25,000" category</t>
  </si>
  <si>
    <t>Sale_Price_Segment in Row 4 now "Under $25,000"</t>
  </si>
  <si>
    <t>Unusable dates</t>
  </si>
  <si>
    <t>Converted Sales_Date_A (YYYYMM integer) to a true Date value using =DATE(LEFT(...,4),RIGHT(...,2),1) logic, then applied custom Number Format (mmm-yy) to display as month/year; Sales_Date_B (redundant text column) removed</t>
  </si>
  <si>
    <t>Two columns (Sales_Date_A, Sales_Date_B) stored the same date information in different non-date formats — neither was usable for date math, sorting, or filtering by actual date logic. Consolidating into one true Date-typed column enables native Excel date functions while eliminating redundant data</t>
  </si>
  <si>
    <t>137 rows converted from integer YYYYMM code to Date-typed values displaying as "Mon-YY"</t>
  </si>
  <si>
    <t>Embedded Units</t>
  </si>
  <si>
    <t>Split unit into the column header (Engine_Size (L)) and converted values to numeric (e.g. "1.5L" → 1.5); "N/A (EV/Hydrogen)" rows left as text/blank since no numeric value applies</t>
  </si>
  <si>
    <t>Numeric storage enables direct use in calculations/formulas and pivot tables without a parsing step</t>
  </si>
  <si>
    <t>Engine_Size (L) column now numeric for 115 "Gasoline"/"Hybrid" rows</t>
  </si>
  <si>
    <t>Numeric Formatting</t>
  </si>
  <si>
    <t>Applied Currency number format with thousands separator to Sale_Price; applied number format with thousands separator to Mileage column</t>
  </si>
  <si>
    <t>Raw values were unformatted integers; currency formatting and thousands separator helps with improving readability</t>
  </si>
  <si>
    <t>Sale_Price displays as $###,### — underlying value unchanged; Mileage displays as ##,### — underlying value unchanged</t>
  </si>
  <si>
    <t>Engine_Size (L)</t>
  </si>
  <si>
    <t>Sales_Date</t>
  </si>
  <si>
    <t>$25K–$39.9K</t>
  </si>
  <si>
    <t>Unknown</t>
  </si>
  <si>
    <t>$40K–$59.9K</t>
  </si>
  <si>
    <t>$60K–$89.9K</t>
  </si>
  <si>
    <t>N/A (EV/Hydrogen)</t>
  </si>
  <si>
    <t>$90K–$129.9K</t>
  </si>
  <si>
    <t>Sales by Vehicle Category</t>
  </si>
  <si>
    <t>Pivot summary — units sold, total revenue, and average price per category</t>
  </si>
  <si>
    <t>Vehicle Category</t>
  </si>
  <si>
    <t>Units Sold</t>
  </si>
  <si>
    <t>Total Revenue</t>
  </si>
  <si>
    <t>% Total Revenue</t>
  </si>
  <si>
    <t>Avg Sale Price</t>
  </si>
  <si>
    <t>Grand Total</t>
  </si>
  <si>
    <t>Sales by Time Period</t>
  </si>
  <si>
    <t>Pivot summary — units sold and revenue by month and by quarter</t>
  </si>
  <si>
    <t>Month</t>
  </si>
  <si>
    <t>Sales by Time Period by Category</t>
  </si>
  <si>
    <t>Pivot summary — units sold and revenue by month and by quarter separated by category</t>
  </si>
  <si>
    <t>Coupe Total</t>
  </si>
  <si>
    <t>Sedan Total</t>
  </si>
  <si>
    <t>SUV Total</t>
  </si>
  <si>
    <t>Truck Total</t>
  </si>
  <si>
    <t>Van Total</t>
  </si>
  <si>
    <t>Sales by Time Period by Sub-Category</t>
  </si>
  <si>
    <t>Pivot summary — units sold and revenue by month and by quarter separated by subcategory</t>
  </si>
  <si>
    <t>Vehicle Sub-Category</t>
  </si>
  <si>
    <t>Compact SUV Total</t>
  </si>
  <si>
    <t>Electric Vehicle Total</t>
  </si>
  <si>
    <t>Full-Size Car Total</t>
  </si>
  <si>
    <t>Hybrid Luxury Coupe Total</t>
  </si>
  <si>
    <t>Luxury Coupe Total</t>
  </si>
  <si>
    <t>Mid/Full-Size SUV Total</t>
  </si>
  <si>
    <t>Other Total</t>
  </si>
  <si>
    <t>Pickup Truck Total</t>
  </si>
  <si>
    <t>Sports Coupe Total</t>
  </si>
  <si>
    <t>Subcompact/Compact Car Total</t>
  </si>
  <si>
    <t>Van/Minivan Total</t>
  </si>
  <si>
    <t>Regional Performance Comparison</t>
  </si>
  <si>
    <t>Pivot summary — units sold, revenue, and average price by dealer region</t>
  </si>
  <si>
    <t>Dealer Region</t>
  </si>
  <si>
    <t>Market Segment</t>
  </si>
  <si>
    <t>Values</t>
  </si>
  <si>
    <t>Average Selling Price by Make/Model</t>
  </si>
  <si>
    <t>Pivot Summary — average selling price by make, plus highest and lowest priced models (top list shows 11 rows due to ties at $129,900, $99,900 and $89,900)</t>
  </si>
  <si>
    <t>Sales volume leaders and revenue leaders are different makes</t>
  </si>
  <si>
    <t>Volume peaks mid-year; revenue peaks at year end</t>
  </si>
  <si>
    <t>Sales Date</t>
  </si>
  <si>
    <t>Luxury/Performance and Standard segments have different category mixes</t>
  </si>
  <si>
    <t>Sales volume concentrates in the two lowest price brackets</t>
  </si>
  <si>
    <t>Price Segment</t>
  </si>
  <si>
    <t>Gasoline dominates every month except October, with only a slight majority in November</t>
  </si>
  <si>
    <t>Fuel Type</t>
  </si>
  <si>
    <t>Luxury/Performance revenue is confined to the West and Northeast</t>
  </si>
  <si>
    <t>Key Trends</t>
  </si>
  <si>
    <t>Terminology: "Luxury/Performance" and "Standard" refer strictly to the Market_Segment field. "High-ticket" refers to sale price regardless of segment. Note that Sale_Price_Segment (price brackets) and Vehicle_Sub_Category are separate fields and are named explicitly wherever used.</t>
  </si>
  <si>
    <t>Note: Due to low numbers of individual models sold (range = 1-2 units per model), all findings below are reported at the make and category level; model-level conclusions are not supported</t>
  </si>
  <si>
    <t>Best Performing Makes by Total Revenue: Tesla at $1.16M (18.7% of revenue); over 50% more revenue generated than next highest BMW ($770,900)</t>
  </si>
  <si>
    <t>Best Performing Makes by Units Sold: Toyota sold the most units at 18, but the lead is narrow, with Nissan, Honda and Hyundai at 17 units and Chevrolet and Ford at 16</t>
  </si>
  <si>
    <t>Worst Performing Makes by Total Revenue: Honda is the weakest revenue generator at $554,300, though the range is tight — Jeep, Hyundai and Ford also fall below $600,000</t>
  </si>
  <si>
    <t>Worst Performing Makes by Units Sold: Tesla and BMW, despite high revenue figures, were found to have the lowest number of units sold at 11 cars each</t>
  </si>
  <si>
    <t>By units sold, car purchases increase going into the summer months peaking in August before declining by the end of the year</t>
  </si>
  <si>
    <t>However, when tracking total revenue, we see a 2nd peak in November/December suggestive of the average price of each vehicle purchase, which is borne out by trend line of average purchase price by month</t>
  </si>
  <si>
    <t>Key Patterns</t>
  </si>
  <si>
    <t>Going by quarter, we see sustained growth in Coupe sales going from 0 → 3 → 4 → 10 units (Q1-Q4). Note: Coupe spans 6 sub-categories (Sports, Luxury, Hybrid Luxury, Other, Electric Vehicle, Subcompact/Compact). Q4's 10 units break down as 5 Sports Coupe + 4 high-ticket "Other" performance nameplates (Supra, GT-R, Shelby GT500, ZL1, all Standard segment) + 1 Tesla EV</t>
  </si>
  <si>
    <t>In comparison, SUVs show growth from only 5 sold in Q1 to 18 sold in Q2, before a Q3 peak of 22 that decreases slightly in Q4 to 17 units</t>
  </si>
  <si>
    <t>Sedan sales stay roughly flat, while Electric cars and Truck/Vans both show spikes over a single month (6 vans bought in August) or quarter (6 trucks sold in Q2; 12 Electric vehicles sold in Q4), so no sustained trend as of yet</t>
  </si>
  <si>
    <t>Gasoline dominated fuel type exclusively at 100% of vehicles sold in Jan/Feb and held 78-92% of monthly sales from March through September; however, share fell to 47% in October and 60% in November as Electric and Hybrid units clustered, before returning to 90% in December</t>
  </si>
  <si>
    <t>Electric vehicle units cluster in October and November (11 of 21 total), but this is not real seasonality: Tesla (11 of 21 EVs) sells a flat ~1 unit/month March-December, 100% West, with no seasonal pattern. The other 10 EV units are one-off single models from 7 different makes (BMW, Nissan, Hyundai, Ford, Chevrolet, Toyota, Honda) that cluster Aug-Nov — a manufacturer-variety artifact, not a strong enough demand signal.</t>
  </si>
  <si>
    <t>Hybrid is a small, inconsistent presence (0-13% monthly), no clear trend up or down</t>
  </si>
  <si>
    <t>No economic indicator data in this dataset (ex. inflation) — this can only speak to seasonality</t>
  </si>
  <si>
    <t>SUV sales spring/summer-driven: climbs to a May peak (10 units), holds steady Aug-Nov (8 each month), then collapses to 1 in December, the same month Coupe volume peaks at 6</t>
  </si>
  <si>
    <t>Coupe sales potentially holiday-driven: near-zero through most of the year, builds Sep (2) → Nov (4) → Dec (6) — a clear year-end ramp</t>
  </si>
  <si>
    <t>Sedans show no seasonal pattern: scattered 1-6 units most months with no consistent high or low season</t>
  </si>
  <si>
    <t>Truck had one outlier month: 6 units in June, 0-1 units every other month — not a repeating seasonal pattern</t>
  </si>
  <si>
    <t>Similarly, van had one outlier month: all 6 units in August, zero every other month — nothing here indicates seasonality</t>
  </si>
  <si>
    <t>Divergence is also regional, not just categorical: 100% of Tesla's 11 units sold in West, 100% of BMW's 11 units sold in Northeast whereas Midwest and South recorded zero luxury sales</t>
  </si>
  <si>
    <t>Luxury/Performance vehicles show a clear difference in profile from Standard-segment vehicles:</t>
  </si>
  <si>
    <t>Luxury vehicles comprise 16.1% of total units sold but 31.1% of revenue, secondary to a 2.4x higher average price ($87,791 vs. $37,137).</t>
  </si>
  <si>
    <t>Divergence continues on category level with:</t>
  </si>
  <si>
    <t>Units Sold widest gap: SUV. Luxury sold 6 vs. Standard's 56 (9.3x) — luxury is just 9.7% of SUV units.</t>
  </si>
  <si>
    <t>Units Sold smallest gap: Coupe. Luxury sold 5 vs. Standard's 12 (2.4x) — luxury is 29.4% of Coupe units, the most balanced split of the four.</t>
  </si>
  <si>
    <t>Total Revenue widest gap: SUV. Luxury earned $387,400 vs. Standard's $2,046,200 (5.3x) — luxury is 15.9% of SUV revenue.</t>
  </si>
  <si>
    <t>Total Revenue smallest gap: Coupe. Luxury earned $629,500 vs. Standard's $685,401 (1.1x) — luxury is 47.9% of Coupe revenue, nearly an even split.</t>
  </si>
  <si>
    <t>Avg Price smallest gap: SUV. Luxury/Performance averages $64,567 vs. Standard's $36,539 (1.8x) — the smallest per-unit price separation, making SUV the category where segment tier buys the least distinction</t>
  </si>
  <si>
    <t>Avg Price widest gap: Truck. Luxury/Performance averages $129,900 vs. Standard's $39,300 (3.3x) — the largest per-unit price separation of any category.</t>
  </si>
  <si>
    <t>Business Recommendations</t>
  </si>
  <si>
    <t>Scope: items below are highest-confidence subset of recommendations this dataset supports. Weaker or overlapping findings were deliberately excluded rather than padded in</t>
  </si>
  <si>
    <t>Governing caveats (apply to all items below)</t>
  </si>
  <si>
    <t>n=137 sales across a single year (2024), with only 1-2 units per individual model. All conclusions hold at make and category level only; no model-level inference is supported</t>
  </si>
  <si>
    <t>Terminology: "Luxury/Performance" refers strictly to the Market_Segment field, which contains only Tesla (11 units, 100% West) and BMW (11 units, 100% Northeast). "High-ticket" refers to sale price regardless of segment. The two are not interchangeable: most high-priced Q4 sales were Standard-segment product</t>
  </si>
  <si>
    <t>Regional price differences are more driven by brand placement than regional demand</t>
  </si>
  <si>
    <t>Single-period clusters (6 Vans in August, 6 Trucks in June, EV concentration in Oct/Nov) are artifacts of unknown origin, highly unlikely to be related to seasonality, and are thus excluded from acting as basis for recommendations</t>
  </si>
  <si>
    <t>No cost, margin, current inventory, or marketing spend data exists in this dataset. Revenue is used as the proxy for value throughout</t>
  </si>
  <si>
    <t>INVENTORY OPTIMIZATION</t>
  </si>
  <si>
    <t>Action:</t>
  </si>
  <si>
    <t>Build SUV stock in July to meet the August-November plateau rather than chase the May peak, then draw down for December</t>
  </si>
  <si>
    <t>Evidence:</t>
  </si>
  <si>
    <t>SUV was the largest available lever: 62 units, 45% of all sales and 39.2% of total revenue, more than any other category on both measures</t>
  </si>
  <si>
    <t>Highest demand in 2024 was over a 3 month span, not a singular peak: a one-off May spike of 10 units reset to 3 in June, then held at exactly 8 units per month August through November</t>
  </si>
  <si>
    <t>Drop over the final quarter was mainly the result of a precipitous drop at end of year: Q3 to Q4 fell only from 22 to 17 units, while December alone had units sold go all the way down to 1</t>
  </si>
  <si>
    <t>Build higher Coupe inventory into November-December, weighted to Sports Coupe and performance subcategories</t>
  </si>
  <si>
    <t>Coupe was the only category that grew every quarter: 0 to 3 to 4 to 10 units, with December alone at 6 units and a $102,900 average</t>
  </si>
  <si>
    <t>Q4's 10 units were 5 Sports Coupe, 4 high-ticket "Other" performance models (Supra, GT-R, Shelby GT500, ZL1) and 1 Tesla</t>
  </si>
  <si>
    <t>This was not a Luxury/Performance mix shift: all three Luxury and Hybrid Luxury Coupes sold in Q2-Q3, with zero in Q4, placing the Q4 volume almost entirely in Standard-segment performance product</t>
  </si>
  <si>
    <t>PRICING BY VEHICLE SEGMENT</t>
  </si>
  <si>
    <t>Exclude Coupe from discounting and price Q4 performance models at the top of band</t>
  </si>
  <si>
    <t>Coupe averaged $77,347 against $45,272 across all sales, converting 12.4% of units into 21.2% of revenue</t>
  </si>
  <si>
    <t>Pricing strength was not confined to Tesla and BMW: Standard-segment Coupes averaged $57,117, 1.5x the $37,137 Standard average across all categories</t>
  </si>
  <si>
    <t>Q4 Standard Coupes averaged $65,522 across 9 units, the highest standard-segment figure of any category-quarter in the dataset</t>
  </si>
  <si>
    <t>Compete in SUV on standard-tier value rather than Luxury/Performance pricing</t>
  </si>
  <si>
    <t>Luxury/Performance SUVs averaged $64,567 against $36,539 standard, a 1.8x separation and the smallest of any category (Truck 3.3x, Sedan 2.4x, Coupe 2.2x)</t>
  </si>
  <si>
    <t>Luxury/Performance was only 9.7% of SUV units and 15.9% of SUV revenue, the widest segment gap of any category with entries in the Luxury/Performance segment</t>
  </si>
  <si>
    <t>The segment delivered the least price separation of any category here, leaving margin better defended through volume and mix than through price</t>
  </si>
  <si>
    <t>MARKETING CAMPAIGN FOCUS</t>
  </si>
  <si>
    <t>Concentrate campaign spend on Coupe as the highest-potential category</t>
  </si>
  <si>
    <t>Coupe was the only category growing every quarter (0 to 3 to 4 to 10), while SUV declined in Q4 and Sedan stayed flat at 10, 8, 11, 11</t>
  </si>
  <si>
    <t>It returned 21.2% of revenue on 12.4% of units at a $77,347 average, 1.7x the $45,272 overall</t>
  </si>
  <si>
    <t>Its Q4 growth came from Standard-segment performance product, making the category reachable without Tesla or BMW inventory</t>
  </si>
  <si>
    <t>Caveat: n=17 across a single year, so treat the growth as a signal to test, not an established trend</t>
  </si>
  <si>
    <t>Aim SUV and the five sub-$38K volume makes at reach and lead-generation, and concentrate any margin-led messaging on Chevrolet and Jeep</t>
  </si>
  <si>
    <t>SUV carried 45% of units at a $39,252 average, with the weakest segment price separation in the dataset at 1.8x</t>
  </si>
  <si>
    <t>Toyota (18 units), Nissan (17), Hyundai (17), Honda (17) and Ford (16) totaled 85 units, 62% of volume but only 48.6% of revenue</t>
  </si>
  <si>
    <t>Their averages of $32,606 to $37,676 sat inside the $25K-$39.9K bracket that held 63 of 137 sales, while Chevrolet ($43,200) and Jeep ($40,514) averaged above it</t>
  </si>
  <si>
    <t>SEASONAL PROMOTION</t>
  </si>
  <si>
    <t>Run discount-led volume promotions in Q3 concentrated on August, and schedule Tesla and BMW campaigns in the same window</t>
  </si>
  <si>
    <t>Q3 was the unit peak at 45 units, with August alone at 16, the highest month of the year</t>
  </si>
  <si>
    <t>Q3 averaged $44,667 per sale against Q4's $54,532, making Q3 the traffic quarter and Q4 the price-mix quarter</t>
  </si>
  <si>
    <t>Luxury/Performance revenue also peaked in Q3 at $764,300 before falling to $548,500 in Q4, placing Tesla and BMW activity in the same window rather than at year end</t>
  </si>
  <si>
    <t>Hold list price through November-December and run non-discount campaigns on high-ticket Coupes</t>
  </si>
  <si>
    <t>December produced $895,000 on 10 units, an $89,500 average and the strongest revenue month of the year</t>
  </si>
  <si>
    <t>Coupes accounted for $617,400 of that on 6 units, 5 of which were Standard-segment</t>
  </si>
  <si>
    <t>Q4 moved fewer units than Q3 (40 against 45) for more revenue, so discounting would have cut into the price mix generating it rather than add traffic</t>
  </si>
  <si>
    <t>SALES TEAM RESOURCE ALLOCATION</t>
  </si>
  <si>
    <t>Weight headcount and top closers to the West</t>
  </si>
  <si>
    <t>The West delivered 47 units (34% of volume) and $2,421,301 (39% of revenue), the largest share on both measures</t>
  </si>
  <si>
    <t>No other region exceeded 31 units or $1.36M</t>
  </si>
  <si>
    <t>West's $51,517 average price was not valid justification: it was a Tesla artifact, and West's standard-only average was $35,022, below the Midwest's $40,258</t>
  </si>
  <si>
    <t>Caveat: this assumes current rep capacity, not territory coverage, is the binding constraint, which this dataset cannot confirm</t>
  </si>
  <si>
    <t>Place Luxury/Performance-experienced reps only in the West and Northeast, and staff the Midwest and South for standard-volume throughput</t>
  </si>
  <si>
    <t>All 22 Luxury/Performance units were Tesla (11 units, 100% West) and BMW (11 units, 100% Northeast)</t>
  </si>
  <si>
    <t>The segment represented 47.9% of West revenue and 57.0% of Northeast revenue, and 0% in the Midwest and South</t>
  </si>
  <si>
    <t>Midwest and South ran entirely on standard product at $40,258 and $39,363 averages, leaving their reps better measured on throughput than on segment attach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</si>
</sst>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[$-409]mmm\-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Aptos Narrow"/>
      <charset val="1"/>
    </font>
    <font>
      <sz val="11"/>
      <name val="Calibri"/>
      <scheme val="minor"/>
    </font>
    <font>
      <sz val="11"/>
      <color rgb="FF0000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23">
    <xf numFmtId="0" fontId="0" fillId="0" borderId="0" xfId="0"/>
    <xf numFmtId="0" fontId="0" fillId="33" borderId="0" xfId="0" applyFill="1"/>
    <xf numFmtId="0" fontId="0" fillId="0" borderId="0" xfId="0" applyAlignment="1">
      <alignment wrapText="1"/>
    </xf>
    <xf numFmtId="0" fontId="2" fillId="0" borderId="0" xfId="0" applyFont="1"/>
    <xf numFmtId="0" fontId="0" fillId="34" borderId="0" xfId="0" applyFill="1" applyAlignment="1">
      <alignment wrapText="1"/>
    </xf>
    <xf numFmtId="0" fontId="20" fillId="0" borderId="0" xfId="0" applyFont="1" applyAlignment="1">
      <alignment wrapText="1"/>
    </xf>
    <xf numFmtId="0" fontId="22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10" xfId="0" applyBorder="1"/>
    <xf numFmtId="3" fontId="0" fillId="0" borderId="10" xfId="0" applyNumberFormat="1" applyBorder="1"/>
    <xf numFmtId="165" fontId="0" fillId="0" borderId="10" xfId="0" applyNumberFormat="1" applyBorder="1"/>
    <xf numFmtId="0" fontId="21" fillId="0" borderId="10" xfId="0" applyFont="1" applyBorder="1"/>
    <xf numFmtId="0" fontId="20" fillId="0" borderId="0" xfId="0" applyFont="1"/>
    <xf numFmtId="0" fontId="0" fillId="0" borderId="0" xfId="0" applyAlignment="1"/>
    <xf numFmtId="0" fontId="1" fillId="0" borderId="0" xfId="0" applyFont="1" applyAlignment="1">
      <alignment wrapText="1"/>
    </xf>
    <xf numFmtId="0" fontId="1" fillId="0" borderId="10" xfId="0" applyFont="1" applyBorder="1"/>
    <xf numFmtId="0" fontId="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[$-409]mmm\-yy;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" formatCode="#,##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&quot;$&quot;#,##0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[car_sales_final-CE 3.xlsx]Bar Charts!PivotTable1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Toyota leads units sold, but top six makes all sit within two units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Charts'!$A$5:$A$14</c:f>
              <c:strCache>
                <c:ptCount val="9"/>
                <c:pt idx="0">
                  <c:v>Toyota</c:v>
                </c:pt>
                <c:pt idx="1">
                  <c:v>Nissan</c:v>
                </c:pt>
                <c:pt idx="2">
                  <c:v>Honda</c:v>
                </c:pt>
                <c:pt idx="3">
                  <c:v>Hyundai</c:v>
                </c:pt>
                <c:pt idx="4">
                  <c:v>Chevrolet</c:v>
                </c:pt>
                <c:pt idx="5">
                  <c:v>Ford</c:v>
                </c:pt>
                <c:pt idx="6">
                  <c:v>Jeep</c:v>
                </c:pt>
                <c:pt idx="7">
                  <c:v>BMW</c:v>
                </c:pt>
                <c:pt idx="8">
                  <c:v>Tesla</c:v>
                </c:pt>
              </c:strCache>
            </c:strRef>
          </c:cat>
          <c:val>
            <c:numRef>
              <c:f>'Bar Charts'!$B$5:$B$14</c:f>
              <c:numCache>
                <c:formatCode>General</c:formatCode>
                <c:ptCount val="9"/>
                <c:pt idx="0">
                  <c:v>18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14</c:v>
                </c:pt>
                <c:pt idx="7">
                  <c:v>11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B-4392-94E1-910D0EF4B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4809607"/>
        <c:axId val="1229942791"/>
      </c:barChart>
      <c:catAx>
        <c:axId val="1094809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42791"/>
        <c:crosses val="autoZero"/>
        <c:auto val="1"/>
        <c:lblAlgn val="ctr"/>
        <c:lblOffset val="100"/>
        <c:noMultiLvlLbl val="0"/>
      </c:catAx>
      <c:valAx>
        <c:axId val="122994279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94809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[car_sales_final-CE 3.xlsx]Bar Charts!PivotTable3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Tesla and BMW out-earn even the highest-volume makes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Charts'!$B$17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Charts'!$A$18:$A$27</c:f>
              <c:strCache>
                <c:ptCount val="9"/>
                <c:pt idx="0">
                  <c:v>Tesla</c:v>
                </c:pt>
                <c:pt idx="1">
                  <c:v>BMW</c:v>
                </c:pt>
                <c:pt idx="2">
                  <c:v>Chevrolet</c:v>
                </c:pt>
                <c:pt idx="3">
                  <c:v>Toyota</c:v>
                </c:pt>
                <c:pt idx="4">
                  <c:v>Nissan</c:v>
                </c:pt>
                <c:pt idx="5">
                  <c:v>Ford</c:v>
                </c:pt>
                <c:pt idx="6">
                  <c:v>Hyundai</c:v>
                </c:pt>
                <c:pt idx="7">
                  <c:v>Jeep</c:v>
                </c:pt>
                <c:pt idx="8">
                  <c:v>Honda</c:v>
                </c:pt>
              </c:strCache>
            </c:strRef>
          </c:cat>
          <c:val>
            <c:numRef>
              <c:f>'Bar Charts'!$B$18:$B$27</c:f>
              <c:numCache>
                <c:formatCode>"$"#,##0</c:formatCode>
                <c:ptCount val="9"/>
                <c:pt idx="0">
                  <c:v>1160500</c:v>
                </c:pt>
                <c:pt idx="1">
                  <c:v>770900</c:v>
                </c:pt>
                <c:pt idx="2">
                  <c:v>691201</c:v>
                </c:pt>
                <c:pt idx="3">
                  <c:v>655100</c:v>
                </c:pt>
                <c:pt idx="4">
                  <c:v>640500</c:v>
                </c:pt>
                <c:pt idx="5">
                  <c:v>585701</c:v>
                </c:pt>
                <c:pt idx="6">
                  <c:v>576800</c:v>
                </c:pt>
                <c:pt idx="7">
                  <c:v>567200</c:v>
                </c:pt>
                <c:pt idx="8">
                  <c:v>554300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D-4D99-B395-9D175650C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7437703"/>
        <c:axId val="1094840839"/>
      </c:barChart>
      <c:catAx>
        <c:axId val="125743770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840839"/>
        <c:crosses val="autoZero"/>
        <c:auto val="1"/>
        <c:lblAlgn val="ctr"/>
        <c:lblOffset val="100"/>
        <c:noMultiLvlLbl val="0"/>
      </c:catAx>
      <c:valAx>
        <c:axId val="1094840839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crossAx val="1257437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[car_sales_final-CE 3.xlsx]Line Charts!PivotTable4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climbs to an August peak, then holds flat through November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Charts'!$A$4:$A$16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'Line Charts'!$B$4:$B$16</c:f>
              <c:numCache>
                <c:formatCode>General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9</c:v>
                </c:pt>
                <c:pt idx="3">
                  <c:v>10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16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43-42BC-976D-1A527DD3D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922119"/>
        <c:axId val="1115172871"/>
      </c:lineChart>
      <c:catAx>
        <c:axId val="1096922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172871"/>
        <c:crosses val="autoZero"/>
        <c:auto val="1"/>
        <c:lblAlgn val="ctr"/>
        <c:lblOffset val="100"/>
        <c:noMultiLvlLbl val="0"/>
      </c:catAx>
      <c:valAx>
        <c:axId val="1115172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922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[car_sales_final-CE 3.xlsx]Line Charts!PivotTable5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December has highest revenue, accompanied by increased average sales price</a:t>
            </a:r>
          </a:p>
        </c:rich>
      </c:tx>
      <c:layout>
        <c:manualLayout>
          <c:xMode val="edge"/>
          <c:yMode val="edge"/>
          <c:x val="0.11099206349206349"/>
          <c:y val="1.3100436681222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Charts'!$B$18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Charts'!$A$19:$A$31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'Line Charts'!$B$19:$B$31</c:f>
              <c:numCache>
                <c:formatCode>"$"#,##0</c:formatCode>
                <c:ptCount val="12"/>
                <c:pt idx="0">
                  <c:v>49000</c:v>
                </c:pt>
                <c:pt idx="1">
                  <c:v>185600</c:v>
                </c:pt>
                <c:pt idx="2">
                  <c:v>367700</c:v>
                </c:pt>
                <c:pt idx="3">
                  <c:v>358500</c:v>
                </c:pt>
                <c:pt idx="4">
                  <c:v>506300</c:v>
                </c:pt>
                <c:pt idx="5">
                  <c:v>543801</c:v>
                </c:pt>
                <c:pt idx="6">
                  <c:v>776500</c:v>
                </c:pt>
                <c:pt idx="7">
                  <c:v>668701</c:v>
                </c:pt>
                <c:pt idx="8">
                  <c:v>564800</c:v>
                </c:pt>
                <c:pt idx="9">
                  <c:v>522600</c:v>
                </c:pt>
                <c:pt idx="10">
                  <c:v>763700</c:v>
                </c:pt>
                <c:pt idx="11">
                  <c:v>895000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42-495E-8DAB-A8546DBD1CFC}"/>
            </c:ext>
          </c:extLst>
        </c:ser>
        <c:ser>
          <c:idx val="1"/>
          <c:order val="1"/>
          <c:tx>
            <c:strRef>
              <c:f>'Line Charts'!$C$18</c:f>
              <c:strCache>
                <c:ptCount val="1"/>
                <c:pt idx="0">
                  <c:v>Avg Sale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Charts'!$A$19:$A$31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'Line Charts'!$C$19:$C$31</c:f>
              <c:numCache>
                <c:formatCode>"$"#,##0</c:formatCode>
                <c:ptCount val="12"/>
                <c:pt idx="0">
                  <c:v>24500</c:v>
                </c:pt>
                <c:pt idx="1">
                  <c:v>30933.333333333332</c:v>
                </c:pt>
                <c:pt idx="2">
                  <c:v>40855.555555555555</c:v>
                </c:pt>
                <c:pt idx="3">
                  <c:v>35850</c:v>
                </c:pt>
                <c:pt idx="4">
                  <c:v>42191.666666666664</c:v>
                </c:pt>
                <c:pt idx="5">
                  <c:v>41830.846153846156</c:v>
                </c:pt>
                <c:pt idx="6">
                  <c:v>55464.285714285717</c:v>
                </c:pt>
                <c:pt idx="7">
                  <c:v>41793.8125</c:v>
                </c:pt>
                <c:pt idx="8">
                  <c:v>37653.333333333336</c:v>
                </c:pt>
                <c:pt idx="9">
                  <c:v>34840</c:v>
                </c:pt>
                <c:pt idx="10">
                  <c:v>50913.333333333336</c:v>
                </c:pt>
                <c:pt idx="11">
                  <c:v>89500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76-4CD2-AF62-38DE0052B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183431"/>
        <c:axId val="1230206471"/>
      </c:lineChart>
      <c:catAx>
        <c:axId val="1230183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206471"/>
        <c:crosses val="autoZero"/>
        <c:auto val="1"/>
        <c:lblAlgn val="ctr"/>
        <c:lblOffset val="100"/>
        <c:noMultiLvlLbl val="0"/>
      </c:catAx>
      <c:valAx>
        <c:axId val="1230206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183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SUVs alone account for nearly half of Standard units</a:t>
            </a:r>
          </a:p>
        </c:rich>
      </c:tx>
      <c:layout>
        <c:manualLayout>
          <c:xMode val="edge"/>
          <c:yMode val="edge"/>
          <c:x val="0.17035028248587569"/>
          <c:y val="2.75689223057644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5D-41A9-B1FB-17ACAAF043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5D-41A9-B1FB-17ACAAF043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5D-41A9-B1FB-17ACAAF043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5D-41A9-B1FB-17ACAAF043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5D-41A9-B1FB-17ACAAF04371}"/>
              </c:ext>
            </c:extLst>
          </c:dPt>
          <c:cat>
            <c:strLit>
              <c:ptCount val="5"/>
              <c:pt idx="0">
                <c:v>SUV</c:v>
              </c:pt>
              <c:pt idx="1">
                <c:v>Sedan</c:v>
              </c:pt>
              <c:pt idx="2">
                <c:v>Coupe</c:v>
              </c:pt>
              <c:pt idx="3">
                <c:v>Truck</c:v>
              </c:pt>
              <c:pt idx="4">
                <c:v>Van</c:v>
              </c:pt>
            </c:strLit>
          </c:cat>
          <c:val>
            <c:numLit>
              <c:formatCode>General</c:formatCode>
              <c:ptCount val="5"/>
              <c:pt idx="0">
                <c:v>56</c:v>
              </c:pt>
              <c:pt idx="1">
                <c:v>31</c:v>
              </c:pt>
              <c:pt idx="2">
                <c:v>12</c:v>
              </c:pt>
              <c:pt idx="3">
                <c:v>10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0-60A3-46ED-BE7D-93704797B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SUV generates nearly half of Standard revenue</a:t>
            </a:r>
          </a:p>
        </c:rich>
      </c:tx>
      <c:layout>
        <c:manualLayout>
          <c:xMode val="edge"/>
          <c:yMode val="edge"/>
          <c:x val="0.21669968113489946"/>
          <c:y val="2.0100502512562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5F-45C8-861F-221BC4D7E0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5F-45C8-861F-221BC4D7E0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5F-45C8-861F-221BC4D7E0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5F-45C8-861F-221BC4D7E0E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35F-45C8-861F-221BC4D7E0E3}"/>
              </c:ext>
            </c:extLst>
          </c:dPt>
          <c:cat>
            <c:strLit>
              <c:ptCount val="5"/>
              <c:pt idx="0">
                <c:v>SUV</c:v>
              </c:pt>
              <c:pt idx="1">
                <c:v>Sedan</c:v>
              </c:pt>
              <c:pt idx="2">
                <c:v>Coupe</c:v>
              </c:pt>
              <c:pt idx="3">
                <c:v>Truck</c:v>
              </c:pt>
              <c:pt idx="4">
                <c:v>Van</c:v>
              </c:pt>
            </c:strLit>
          </c:cat>
          <c:val>
            <c:numLit>
              <c:formatCode>General</c:formatCode>
              <c:ptCount val="5"/>
              <c:pt idx="0">
                <c:v>2046200</c:v>
              </c:pt>
              <c:pt idx="1">
                <c:v>946700</c:v>
              </c:pt>
              <c:pt idx="2">
                <c:v>685401</c:v>
              </c:pt>
              <c:pt idx="3">
                <c:v>393000</c:v>
              </c:pt>
              <c:pt idx="4">
                <c:v>199501</c:v>
              </c:pt>
            </c:numLit>
          </c:val>
          <c:extLst>
            <c:ext xmlns:c16="http://schemas.microsoft.com/office/drawing/2014/chart" uri="{C3380CC4-5D6E-409C-BE32-E72D297353CC}">
              <c16:uniqueId val="{00000000-6384-4FF0-A7FE-86D25C608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[car_sales_final-CE 3.xlsx]Pie &amp; Doughnut Charts!PivotTable1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Sedans are the most common vehicle type in Luxury/Performance</a:t>
            </a:r>
          </a:p>
        </c:rich>
      </c:tx>
      <c:layout>
        <c:manualLayout>
          <c:xMode val="edge"/>
          <c:yMode val="edge"/>
          <c:x val="0.22326001128031589"/>
          <c:y val="3.14770369860972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&amp; Doughnut Charts'!$B$5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3C-4B4F-A62D-773436CF34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3C-4B4F-A62D-773436CF34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3C-4B4F-A62D-773436CF34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F3C-4B4F-A62D-773436CF34A4}"/>
              </c:ext>
            </c:extLst>
          </c:dPt>
          <c:cat>
            <c:strRef>
              <c:f>'Pie &amp; Doughnut Charts'!$A$6:$A$10</c:f>
              <c:strCache>
                <c:ptCount val="4"/>
                <c:pt idx="0">
                  <c:v>Sedan</c:v>
                </c:pt>
                <c:pt idx="1">
                  <c:v>SUV</c:v>
                </c:pt>
                <c:pt idx="2">
                  <c:v>Coupe</c:v>
                </c:pt>
                <c:pt idx="3">
                  <c:v>Truck</c:v>
                </c:pt>
              </c:strCache>
            </c:strRef>
          </c:cat>
          <c:val>
            <c:numRef>
              <c:f>'Pie &amp; Doughnut Charts'!$B$6:$B$10</c:f>
              <c:numCache>
                <c:formatCode>General</c:formatCode>
                <c:ptCount val="4"/>
                <c:pt idx="0">
                  <c:v>9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4-4D5D-A740-0952B1C73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[car_sales_final-CE 3.xlsx]Pie &amp; Doughnut Charts!PivotTable4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Sedan and Coupe together drive two-thirds of luxury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'Pie &amp; Doughnut Charts'!$B$14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BC-460A-9AFB-05C673DEAB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BC-460A-9AFB-05C673DEAB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BC-460A-9AFB-05C673DEAB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9BC-460A-9AFB-05C673DEABEF}"/>
              </c:ext>
            </c:extLst>
          </c:dPt>
          <c:cat>
            <c:strRef>
              <c:f>'Pie &amp; Doughnut Charts'!$A$15:$A$19</c:f>
              <c:strCache>
                <c:ptCount val="4"/>
                <c:pt idx="0">
                  <c:v>Sedan</c:v>
                </c:pt>
                <c:pt idx="1">
                  <c:v>Coupe</c:v>
                </c:pt>
                <c:pt idx="2">
                  <c:v>SUV</c:v>
                </c:pt>
                <c:pt idx="3">
                  <c:v>Truck</c:v>
                </c:pt>
              </c:strCache>
            </c:strRef>
          </c:cat>
          <c:val>
            <c:numRef>
              <c:f>'Pie &amp; Doughnut Charts'!$B$15:$B$19</c:f>
              <c:numCache>
                <c:formatCode>"$"#,##0</c:formatCode>
                <c:ptCount val="4"/>
                <c:pt idx="0">
                  <c:v>654700</c:v>
                </c:pt>
                <c:pt idx="1">
                  <c:v>629500</c:v>
                </c:pt>
                <c:pt idx="2">
                  <c:v>387400</c:v>
                </c:pt>
                <c:pt idx="3">
                  <c:v>259800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D-4BA2-AE4C-3F34AD182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volume concentrates in the two lowest price brackets</a:t>
            </a:r>
          </a:p>
        </c:rich>
      </c:tx>
      <c:layout>
        <c:manualLayout>
          <c:xMode val="edge"/>
          <c:yMode val="edge"/>
          <c:x val="0.18686155095412099"/>
          <c:y val="1.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'Dual Axis Chart'!$B$3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'Dual Axis Chart'!$A$4:$A$9</c:f>
              <c:strCache>
                <c:ptCount val="6"/>
                <c:pt idx="0">
                  <c:v>Under $25,000</c:v>
                </c:pt>
                <c:pt idx="1">
                  <c:v>$25K–$39.9K</c:v>
                </c:pt>
                <c:pt idx="2">
                  <c:v>$40K–$59.9K</c:v>
                </c:pt>
                <c:pt idx="3">
                  <c:v>$60K–$89.9K</c:v>
                </c:pt>
                <c:pt idx="4">
                  <c:v>$90K–$129.9K</c:v>
                </c:pt>
                <c:pt idx="5">
                  <c:v>Over $130K</c:v>
                </c:pt>
              </c:strCache>
            </c:strRef>
          </c:cat>
          <c:val>
            <c:numRef>
              <c:f>'Dual Axis Chart'!$B$4:$B$9</c:f>
              <c:numCache>
                <c:formatCode>General</c:formatCode>
                <c:ptCount val="6"/>
                <c:pt idx="0">
                  <c:v>22</c:v>
                </c:pt>
                <c:pt idx="1">
                  <c:v>63</c:v>
                </c:pt>
                <c:pt idx="2">
                  <c:v>29</c:v>
                </c:pt>
                <c:pt idx="3">
                  <c:v>14</c:v>
                </c:pt>
                <c:pt idx="4">
                  <c:v>6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72-4EE7-B7FF-7DA2BB78C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1976071"/>
        <c:axId val="1181978119"/>
      </c:barChart>
      <c:lineChart>
        <c:grouping val="standard"/>
        <c:varyColors val="0"/>
        <c:ser>
          <c:idx val="1"/>
          <c:order val="1"/>
          <c:tx>
            <c:strRef>
              <c:f>'Dual Axis Chart'!$C$3</c:f>
              <c:strCache>
                <c:ptCount val="1"/>
                <c:pt idx="0">
                  <c:v>Avg Sale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'Dual Axis Chart'!$A$4:$A$9</c:f>
              <c:strCache>
                <c:ptCount val="6"/>
                <c:pt idx="0">
                  <c:v>Under $25,000</c:v>
                </c:pt>
                <c:pt idx="1">
                  <c:v>$25K–$39.9K</c:v>
                </c:pt>
                <c:pt idx="2">
                  <c:v>$40K–$59.9K</c:v>
                </c:pt>
                <c:pt idx="3">
                  <c:v>$60K–$89.9K</c:v>
                </c:pt>
                <c:pt idx="4">
                  <c:v>$90K–$129.9K</c:v>
                </c:pt>
                <c:pt idx="5">
                  <c:v>Over $130K</c:v>
                </c:pt>
              </c:strCache>
            </c:strRef>
          </c:cat>
          <c:val>
            <c:numRef>
              <c:f>'Dual Axis Chart'!$C$4:$C$9</c:f>
              <c:numCache>
                <c:formatCode>"$"#,##0</c:formatCode>
                <c:ptCount val="6"/>
                <c:pt idx="0">
                  <c:v>22545.454545454544</c:v>
                </c:pt>
                <c:pt idx="1">
                  <c:v>32473.047619047618</c:v>
                </c:pt>
                <c:pt idx="2">
                  <c:v>48175.862068965514</c:v>
                </c:pt>
                <c:pt idx="3">
                  <c:v>75085.71428571429</c:v>
                </c:pt>
                <c:pt idx="4">
                  <c:v>113733.33333333333</c:v>
                </c:pt>
                <c:pt idx="5">
                  <c:v>176566.66666666666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72-4EE7-B7FF-7DA2BB78C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951303"/>
        <c:axId val="1200935431"/>
      </c:lineChart>
      <c:catAx>
        <c:axId val="1181976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978119"/>
        <c:crosses val="autoZero"/>
        <c:auto val="1"/>
        <c:lblAlgn val="ctr"/>
        <c:lblOffset val="100"/>
        <c:noMultiLvlLbl val="0"/>
      </c:catAx>
      <c:valAx>
        <c:axId val="1181978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976071"/>
        <c:crosses val="autoZero"/>
        <c:crossBetween val="between"/>
      </c:valAx>
      <c:valAx>
        <c:axId val="120093543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Sale 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951303"/>
        <c:crosses val="max"/>
        <c:crossBetween val="between"/>
      </c:valAx>
      <c:catAx>
        <c:axId val="120095130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009354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[car_sales_final-CE 3.xlsx]100% Stacked Area Chart!PivotTable12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Gasoline share falls to 47% in October before recovering by December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percentStacked"/>
        <c:varyColors val="0"/>
        <c:ser>
          <c:idx val="0"/>
          <c:order val="0"/>
          <c:tx>
            <c:strRef>
              <c:f>'100% Stacked Area Chart'!$B$3:$B$4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'100% Stacked Area Chart'!$A$5:$A$17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'100% Stacked Area Chart'!$B$5:$B$17</c:f>
              <c:numCache>
                <c:formatCode>General</c:formatCode>
                <c:ptCount val="12"/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5</c:v>
                </c:pt>
                <c:pt idx="10">
                  <c:v>6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0-4169-92DD-9C114DC652D1}"/>
            </c:ext>
          </c:extLst>
        </c:ser>
        <c:ser>
          <c:idx val="1"/>
          <c:order val="1"/>
          <c:tx>
            <c:strRef>
              <c:f>'100% Stacked Area Chart'!$C$3:$C$4</c:f>
              <c:strCache>
                <c:ptCount val="1"/>
                <c:pt idx="0">
                  <c:v>Gasoline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'100% Stacked Area Chart'!$A$5:$A$17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'100% Stacked Area Chart'!$C$5:$C$17</c:f>
              <c:numCache>
                <c:formatCode>General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13</c:v>
                </c:pt>
                <c:pt idx="8">
                  <c:v>13</c:v>
                </c:pt>
                <c:pt idx="9">
                  <c:v>7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D0-4169-92DD-9C114DC652D1}"/>
            </c:ext>
          </c:extLst>
        </c:ser>
        <c:ser>
          <c:idx val="2"/>
          <c:order val="2"/>
          <c:tx>
            <c:strRef>
              <c:f>'100% Stacked Area Chart'!$D$3:$D$4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'100% Stacked Area Chart'!$A$5:$A$17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'100% Stacked Area Chart'!$D$5:$D$17</c:f>
              <c:numCache>
                <c:formatCode>General</c:formatCode>
                <c:ptCount val="12"/>
                <c:pt idx="2">
                  <c:v>1</c:v>
                </c:pt>
                <c:pt idx="3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D0-4169-92DD-9C114DC652D1}"/>
            </c:ext>
          </c:extLst>
        </c:ser>
        <c:ser>
          <c:idx val="3"/>
          <c:order val="3"/>
          <c:tx>
            <c:strRef>
              <c:f>'100% Stacked Area Chart'!$E$3:$E$4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'100% Stacked Area Chart'!$A$5:$A$17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'100% Stacked Area Chart'!$E$5:$E$17</c:f>
              <c:numCache>
                <c:formatCode>General</c:formatCode>
                <c:ptCount val="12"/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D0-4169-92DD-9C114DC65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536456"/>
        <c:axId val="642575880"/>
      </c:areaChart>
      <c:catAx>
        <c:axId val="642536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575880"/>
        <c:crosses val="autoZero"/>
        <c:auto val="1"/>
        <c:lblAlgn val="ctr"/>
        <c:lblOffset val="100"/>
        <c:noMultiLvlLbl val="0"/>
      </c:catAx>
      <c:valAx>
        <c:axId val="64257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536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[car_sales_final-CE 3.xlsx]Stacked Column Chart!PivotTable48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Luxury/Performance sells only in the West and Northeast, at nearly half or more of regional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'Stacked Column Chart'!$B$4:$B$5</c:f>
              <c:strCache>
                <c:ptCount val="1"/>
                <c:pt idx="0">
                  <c:v>Luxury/Performance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'Stacked Column Chart'!$A$6:$A$10</c:f>
              <c:strCache>
                <c:ptCount val="4"/>
                <c:pt idx="0">
                  <c:v>West</c:v>
                </c:pt>
                <c:pt idx="1">
                  <c:v>Northeast</c:v>
                </c:pt>
                <c:pt idx="2">
                  <c:v>Midwest</c:v>
                </c:pt>
                <c:pt idx="3">
                  <c:v>South</c:v>
                </c:pt>
              </c:strCache>
            </c:strRef>
          </c:cat>
          <c:val>
            <c:numRef>
              <c:f>'Stacked Column Chart'!$B$6:$B$10</c:f>
              <c:numCache>
                <c:formatCode>"$"#,##0</c:formatCode>
                <c:ptCount val="4"/>
                <c:pt idx="0">
                  <c:v>1160500</c:v>
                </c:pt>
                <c:pt idx="1">
                  <c:v>770900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B-458B-9D43-1D587D117B4D}"/>
            </c:ext>
          </c:extLst>
        </c:ser>
        <c:ser>
          <c:idx val="1"/>
          <c:order val="1"/>
          <c:tx>
            <c:strRef>
              <c:f>'Stacked Column Chart'!$C$4:$C$5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'Stacked Column Chart'!$A$6:$A$10</c:f>
              <c:strCache>
                <c:ptCount val="4"/>
                <c:pt idx="0">
                  <c:v>West</c:v>
                </c:pt>
                <c:pt idx="1">
                  <c:v>Northeast</c:v>
                </c:pt>
                <c:pt idx="2">
                  <c:v>Midwest</c:v>
                </c:pt>
                <c:pt idx="3">
                  <c:v>South</c:v>
                </c:pt>
              </c:strCache>
            </c:strRef>
          </c:cat>
          <c:val>
            <c:numRef>
              <c:f>'Stacked Column Chart'!$C$6:$C$10</c:f>
              <c:numCache>
                <c:formatCode>"$"#,##0</c:formatCode>
                <c:ptCount val="4"/>
                <c:pt idx="0">
                  <c:v>1260801</c:v>
                </c:pt>
                <c:pt idx="1">
                  <c:v>581100</c:v>
                </c:pt>
                <c:pt idx="2">
                  <c:v>1248001</c:v>
                </c:pt>
                <c:pt idx="3">
                  <c:v>1180900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7B-458B-9D43-1D587D117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0520583"/>
        <c:axId val="1450627079"/>
      </c:barChart>
      <c:catAx>
        <c:axId val="1450520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627079"/>
        <c:crosses val="autoZero"/>
        <c:auto val="1"/>
        <c:lblAlgn val="ctr"/>
        <c:lblOffset val="100"/>
        <c:noMultiLvlLbl val="0"/>
      </c:catAx>
      <c:valAx>
        <c:axId val="1450627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520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333375</xdr:colOff>
      <xdr:row>23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D2C0F7-A153-7B7B-D6A2-C1CB9DFF4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22</xdr:col>
      <xdr:colOff>314325</xdr:colOff>
      <xdr:row>23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9A5826-977E-997E-31A0-BC8ACBDA6A0F}"/>
            </a:ext>
            <a:ext uri="{147F2762-F138-4A5C-976F-8EAC2B608ADB}">
              <a16:predDERef xmlns:a16="http://schemas.microsoft.com/office/drawing/2014/main" pred="{CED2C0F7-A153-7B7B-D6A2-C1CB9DFF4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85725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FDA9DA-4741-D15C-FFA0-D89B547A2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600075</xdr:colOff>
      <xdr:row>0</xdr:row>
      <xdr:rowOff>0</xdr:rowOff>
    </xdr:from>
    <xdr:to>
      <xdr:col>29</xdr:col>
      <xdr:colOff>466725</xdr:colOff>
      <xdr:row>26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0B581D-F98C-FDE0-6870-65897CC49DBA}"/>
            </a:ext>
            <a:ext uri="{147F2762-F138-4A5C-976F-8EAC2B608ADB}">
              <a16:predDERef xmlns:a16="http://schemas.microsoft.com/office/drawing/2014/main" pred="{39FDA9DA-4741-D15C-FFA0-D89B547A2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23</xdr:row>
      <xdr:rowOff>171450</xdr:rowOff>
    </xdr:from>
    <xdr:to>
      <xdr:col>14</xdr:col>
      <xdr:colOff>142875</xdr:colOff>
      <xdr:row>44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EEB4C8-DA32-F6E3-0D0F-A7D6043A4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600075</xdr:colOff>
      <xdr:row>23</xdr:row>
      <xdr:rowOff>180975</xdr:rowOff>
    </xdr:from>
    <xdr:to>
      <xdr:col>25</xdr:col>
      <xdr:colOff>104775</xdr:colOff>
      <xdr:row>44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AC03F4-1A2A-A58E-165D-5A0761E46C83}"/>
            </a:ext>
            <a:ext uri="{147F2762-F138-4A5C-976F-8EAC2B608ADB}">
              <a16:predDERef xmlns:a16="http://schemas.microsoft.com/office/drawing/2014/main" pred="{B5EEB4C8-DA32-F6E3-0D0F-A7D6043A4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14</xdr:col>
      <xdr:colOff>142875</xdr:colOff>
      <xdr:row>22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98AB23-DC75-4C96-65EA-7A1F000A245D}"/>
            </a:ext>
            <a:ext uri="{147F2762-F138-4A5C-976F-8EAC2B608ADB}">
              <a16:predDERef xmlns:a16="http://schemas.microsoft.com/office/drawing/2014/main" pred="{CDAC03F4-1A2A-A58E-165D-5A0761E46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590550</xdr:colOff>
      <xdr:row>0</xdr:row>
      <xdr:rowOff>0</xdr:rowOff>
    </xdr:from>
    <xdr:to>
      <xdr:col>25</xdr:col>
      <xdr:colOff>85725</xdr:colOff>
      <xdr:row>22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0111ABA-A4CE-46E7-4112-89B173BD246D}"/>
            </a:ext>
            <a:ext uri="{147F2762-F138-4A5C-976F-8EAC2B608ADB}">
              <a16:predDERef xmlns:a16="http://schemas.microsoft.com/office/drawing/2014/main" pred="{9E98AB23-DC75-4C96-65EA-7A1F000A2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180975</xdr:rowOff>
    </xdr:from>
    <xdr:to>
      <xdr:col>16</xdr:col>
      <xdr:colOff>514350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6C4E9A-C1AA-902B-4A89-AACE58E5F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0</xdr:row>
      <xdr:rowOff>0</xdr:rowOff>
    </xdr:from>
    <xdr:to>
      <xdr:col>20</xdr:col>
      <xdr:colOff>266700</xdr:colOff>
      <xdr:row>32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731AE6-90A1-7107-42A2-D0FCA58C26BC}"/>
            </a:ext>
            <a:ext uri="{147F2762-F138-4A5C-976F-8EAC2B608ADB}">
              <a16:predDERef xmlns:a16="http://schemas.microsoft.com/office/drawing/2014/main" pred="{95880A93-8BDB-D6B0-7A7C-DA0AE4483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0</xdr:row>
      <xdr:rowOff>0</xdr:rowOff>
    </xdr:from>
    <xdr:to>
      <xdr:col>16</xdr:col>
      <xdr:colOff>9525</xdr:colOff>
      <xdr:row>28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9B184F-B007-137C-A428-DA2291FEE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3.930366319444" createdVersion="8" refreshedVersion="8" minRefreshableVersion="3" recordCount="137" xr:uid="{5A6E7E64-18DD-4FE1-ACC5-FD247AC8D09F}">
  <cacheSource type="worksheet">
    <worksheetSource name="Table1"/>
  </cacheSource>
  <cacheFields count="19">
    <cacheField name="VIN" numFmtId="0">
      <sharedItems count="136">
        <s v="1HGBH41JXMN109186"/>
        <s v="2T1BURHE0JC054321"/>
        <s v="3N1AB7AP9HY123456"/>
        <s v="5NPE34AF5KH654321"/>
        <s v="KMHCT4AE9CU987654"/>
        <s v="1C4RJFAG8KC321654"/>
        <s v="1FTFW1ET5EKF12345"/>
        <s v="1G1ZT51806F123456"/>
        <s v="WBA8E9G50HNU12345"/>
        <s v="5YJSA1E26JF123456"/>
        <s v="1HGCV1F36JA123456"/>
        <s v="4T1BF1FK8EU123456"/>
        <s v="1N4AL3AP8JC123456"/>
        <s v="KM8J3CA46JU123456"/>
        <s v="1C4RJFBG3KC123456"/>
        <s v="1FTEW1E50JKF12345"/>
        <s v="1G1ZB5ST8JF123456"/>
        <s v="WBA8E9G59HNU12346"/>
        <s v="5YJSA1E27JF123457"/>
        <s v="1HGCV1F37JA123457"/>
        <s v="4T1BF1FK9EU123457"/>
        <s v="1N4AL3AP9JC123457"/>
        <s v="KM8J3CA47JU123457"/>
        <s v="1C4RJFBG4KC123457"/>
        <s v="1FTEW1E51JKF12346"/>
        <s v="1G1ZB5ST9JF123457"/>
        <s v="WBA8E9G60HNU12347"/>
        <s v="5YJSA1E28JF123458"/>
        <s v="1HGCV1F38JA123458"/>
        <s v="4T1BF1FK0EU123458"/>
        <s v="1N4AL3AP0JC123458"/>
        <s v="KM8J3CA48JU123458"/>
        <s v="1C4RJFBG5KC123458"/>
        <s v="1FTEW1E52JKF12347"/>
        <s v="1G1ZB5ST0JF123458"/>
        <s v="WBA8E9G61HNU12348"/>
        <s v="5YJSA1E29JF123459"/>
        <s v="1HGCV1F39JA123459"/>
        <s v="4T1BF1FK1EU123459"/>
        <s v="1N4AL3AP1JC123459"/>
        <s v="KM8J3CA49JU123459"/>
        <s v="1C4RJFBG6KC123459"/>
        <s v="1FTEW1E53JKF12348"/>
        <s v="1G1ZB5ST1JF123459"/>
        <s v="WBA8E9G62HNU12349"/>
        <s v="1HGCV1F40JA123460"/>
        <s v="4T1BF1FK2EU123460"/>
        <s v="1N4AL3AP2JC123460"/>
        <s v="1FTEW1E54JKF12349"/>
        <s v="1G1ZB5ST2JF123460"/>
        <s v="5YJSA1E30JF123461"/>
        <s v="1HGCV1F41JA123461"/>
        <s v="4T1BF1FK3EU123461"/>
        <s v="1N4AL3AP3JC123461"/>
        <s v="KM8J3CA50JU123461"/>
        <s v="1C4RJFBG7KC123461"/>
        <s v="WBA8E9G63HNU12350"/>
        <s v="5YJSA1E31JF123462"/>
        <s v="1HGCV1F42JA123462"/>
        <s v="4T1BF1FK4EU123462"/>
        <s v="1N4AL3AP4JC123462"/>
        <s v="KM8J3CA51JU123462"/>
        <s v="1FTEW1E55JKF12350"/>
        <s v="1G1ZB5ST3JF123462"/>
        <s v="WBA8E9G64HNU12351"/>
        <s v="1HGCV1F43JA123463"/>
        <s v="4T1BF1FK5EU123463"/>
        <s v="1N4AL3AP5JC123463"/>
        <s v="KM8J3CA52JU123463"/>
        <s v="1FTEW1E56JKF12351"/>
        <s v="1G1ZB5ST4JF123463"/>
        <s v="5YJSA1E32JF123464"/>
        <s v="1HGCV1F44JA123464"/>
        <s v="4T1BF1FK6EU123464"/>
        <s v="1N4AL3AP6JC123464"/>
        <s v="KM8J3CA53JU123464"/>
        <s v="1C4RJFBG8KC123464"/>
        <s v="1FTEW1E57JKF12352"/>
        <s v="1G1ZB5ST5JF123464"/>
        <s v="WBA8E9G65HNU12352"/>
        <s v="1HGCV1F45JA123465"/>
        <s v="4T1BF1FK7EU123465"/>
        <s v="1N4AL3AP7JC123465"/>
        <s v="KM8J3CA54JU123465"/>
        <s v="1C4RJFBG9KC123465"/>
        <s v="1FTEW1E58JKF12353"/>
        <s v="1G1ZB5ST6JF123465"/>
        <s v="5YJSA1E33JF123466"/>
        <s v="1HGCV1F46JA123466"/>
        <s v="4T1BF1FK8EU123466"/>
        <s v="1N4AL3AP8JC123466"/>
        <s v="KM8J3CA55JU123466"/>
        <s v="1C4RJFBG0KC123466"/>
        <s v="1FTEW1E59JKF12354"/>
        <s v="1G1ZB5ST7JF123466"/>
        <s v="WBA8E9G66HNU12353"/>
        <s v="1HGCV1F47JA123467"/>
        <s v="4T1BF1FK9EU123467"/>
        <s v="1N4AL3AP9JC123467"/>
        <s v="KM8J3CA56JU123467"/>
        <s v="1C4RJFBG1KC123467"/>
        <s v="1FTEW1E60JKF12355"/>
        <s v="1G1ZB5ST8JF123467"/>
        <s v="5YJSA1E34JF123468"/>
        <s v="1HGCV1F48JA123468"/>
        <s v="4T1BF1FK0EU123468"/>
        <s v="1N4AL3AP0JC123468"/>
        <s v="KM8J3CA57JU123468"/>
        <s v="1C4RJFBG2KC123468"/>
        <s v="1FTEW1E61JKF12356"/>
        <s v="1G1ZB5ST9JF123468"/>
        <s v="WBA8E9G67HNU12354"/>
        <s v="1HGCV1F49JA123469"/>
        <s v="4T1BF1FK1EU123469"/>
        <s v="1N4AL3AP1JC123469"/>
        <s v="KM8J3CA58JU123469"/>
        <s v="1C4RJFBG3KC123469"/>
        <s v="1FTEW1E62JKF12357"/>
        <s v="1G1ZB5ST0JF123469"/>
        <s v="5YJSA1E35JF123470"/>
        <s v="1HGCV1F50JA123470"/>
        <s v="4T1BF1FK2EU123470"/>
        <s v="1N4AL3AP2JC123470"/>
        <s v="KM8J3CA59JU123470"/>
        <s v="1C4RJFBG4KC123470"/>
        <s v="1FTEW1E63JKF12358"/>
        <s v="1G1ZB5ST1JF123470"/>
        <s v="WBA8E9G68HNU12355"/>
        <s v="1HGCV1F51JA123471"/>
        <s v="4T1BF1FK3EU123471"/>
        <s v="1N4AL3AP3JC123471"/>
        <s v="KM8J3CA60JU123471"/>
        <s v="1C4RJFBG5KC123471"/>
        <s v="1FTEW1E64JKF12359"/>
        <s v="1G1ZB5ST2JF123471"/>
        <s v="5YJSA1E36JF123472"/>
      </sharedItems>
    </cacheField>
    <cacheField name="Make" numFmtId="0">
      <sharedItems count="9">
        <s v="Honda"/>
        <s v="Toyota"/>
        <s v="Nissan"/>
        <s v="Hyundai"/>
        <s v="Jeep"/>
        <s v="Ford"/>
        <s v="Chevrolet"/>
        <s v="BMW"/>
        <s v="Tesla"/>
      </sharedItems>
    </cacheField>
    <cacheField name="Model" numFmtId="0">
      <sharedItems count="131">
        <s v="Civic"/>
        <s v="Corolla"/>
        <s v="Altima"/>
        <s v="Elantra"/>
        <s v="Tucson"/>
        <s v="Grand Cherokee"/>
        <s v="F-150"/>
        <s v="Malibu"/>
        <s v="X3"/>
        <s v="Model S"/>
        <s v="Accord"/>
        <s v="Camry"/>
        <s v="Santa Fe"/>
        <s v="Cruze"/>
        <s v="X5"/>
        <s v="Model 3"/>
        <s v="Prius"/>
        <s v="Sentra"/>
        <s v="Wrangler"/>
        <s v="Explorer"/>
        <s v="Equinox"/>
        <s v="3 Series"/>
        <s v="Model Y"/>
        <s v="CR-V"/>
        <s v="RAV4"/>
        <s v="Rogue"/>
        <s v="Sonata"/>
        <s v="Compass"/>
        <s v="Escape"/>
        <s v="Traverse"/>
        <s v="X1"/>
        <s v="Model X"/>
        <s v="Pilot"/>
        <s v="Highlander"/>
        <s v="Murano"/>
        <s v="Genesis"/>
        <s v="Cherokee"/>
        <s v="Mustang"/>
        <s v="Camaro"/>
        <s v="4 Series"/>
        <s v="Ridgeline"/>
        <s v="Tacoma"/>
        <s v="Titan"/>
        <s v="Ranger"/>
        <s v="Silverado"/>
        <s v="Cybertruck"/>
        <s v="Insight"/>
        <s v="Avalon"/>
        <s v="Maxima"/>
        <s v="Accent"/>
        <s v="Gladiator"/>
        <s v="7 Series"/>
        <s v="Roadster"/>
        <s v="Passport"/>
        <s v="Sequoia"/>
        <s v="Armada"/>
        <s v="Palisade"/>
        <s v="Bronco"/>
        <s v="Tahoe"/>
        <s v="8 Series"/>
        <s v="Odyssey"/>
        <s v="Sienna"/>
        <s v="Quest"/>
        <s v="Entourage"/>
        <s v="Transit"/>
        <s v="Express"/>
        <s v="Semi"/>
        <s v="Element"/>
        <s v="FJ Cruiser"/>
        <s v="Xterra"/>
        <s v="Veracruz"/>
        <s v="Commander"/>
        <s v="Excursion"/>
        <s v="Suburban"/>
        <s v="i3"/>
        <s v="Crosstour"/>
        <s v="Venza"/>
        <s v="Pathfinder"/>
        <s v="Santa Fe Sport"/>
        <s v="Patriot"/>
        <s v="Edge"/>
        <s v="Blazer"/>
        <s v="Model Z"/>
        <s v="Fit"/>
        <s v="Yaris"/>
        <s v="Versa"/>
        <s v="Veloster"/>
        <s v="Renegade"/>
        <s v="EcoSport"/>
        <s v="Spark"/>
        <s v="i8"/>
        <s v="HR-V"/>
        <s v="C-HR"/>
        <s v="Kicks"/>
        <s v="Kona"/>
        <s v="Avenger"/>
        <s v="Puma"/>
        <s v="Trailblazer"/>
        <s v="Model A"/>
        <s v="Clarity"/>
        <s v="Mirai"/>
        <s v="Leaf"/>
        <s v="Ioniq"/>
        <s v="4xe"/>
        <s v="Lightning"/>
        <s v="Bolt"/>
        <s v="iX"/>
        <s v="Prologue"/>
        <s v="bZ4X"/>
        <s v="Ariya"/>
        <s v="IONIQ 5"/>
        <s v="Grand Cherokee L"/>
        <s v="Maverick"/>
        <s v="Corvette"/>
        <s v="Plaid"/>
        <s v="Prelude"/>
        <s v="GR86"/>
        <s v="Z"/>
        <s v="Elantra N"/>
        <s v="Wagoneer"/>
        <s v="Bronco Sport"/>
        <s v="Corvette Z06"/>
        <s v="M3"/>
        <s v="Type R"/>
        <s v="Supra"/>
        <s v="GT-R"/>
        <s v="Genesis G90"/>
        <s v="Grand Wagoneer"/>
        <s v="Shelby GT500"/>
        <s v="ZL1"/>
        <s v="Roadster 2.0"/>
      </sharedItems>
    </cacheField>
    <cacheField name="Vehicle_Category" numFmtId="0">
      <sharedItems count="5">
        <s v="Sedan"/>
        <s v="SUV"/>
        <s v="Truck"/>
        <s v="Coupe"/>
        <s v="Van"/>
      </sharedItems>
    </cacheField>
    <cacheField name="Vehicle_Sub_Category" numFmtId="0">
      <sharedItems count="11">
        <s v="Subcompact/Compact Car"/>
        <s v="Full-Size Car"/>
        <s v="Mid/Full-Size SUV"/>
        <s v="Compact SUV"/>
        <s v="Pickup Truck"/>
        <s v="Sports Coupe"/>
        <s v="Luxury Coupe"/>
        <s v="Electric Vehicle"/>
        <s v="Van/Minivan"/>
        <s v="Hybrid Luxury Coupe"/>
        <s v="Other"/>
      </sharedItems>
    </cacheField>
    <cacheField name="Market_Segment" numFmtId="0">
      <sharedItems count="2">
        <s v="Standard"/>
        <s v="Luxury/Performance"/>
      </sharedItems>
    </cacheField>
    <cacheField name="Sale_Price" numFmtId="164">
      <sharedItems containsSemiMixedTypes="0" containsString="0" containsNumber="1" containsInteger="1" minValue="16500" maxValue="199900"/>
    </cacheField>
    <cacheField name="Sale_Price_Segment" numFmtId="0">
      <sharedItems count="7">
        <s v="Under $25,000"/>
        <s v="$25K–$39.9K"/>
        <s v="$40K–$59.9K"/>
        <s v="$60K–$89.9K"/>
        <s v="$90K–$129.9K"/>
        <s v="Over $130K"/>
        <s v="$90KÂ–$129.9K" u="1"/>
      </sharedItems>
    </cacheField>
    <cacheField name="Customer_Name" numFmtId="0">
      <sharedItems/>
    </cacheField>
    <cacheField name="Customer_Email" numFmtId="0">
      <sharedItems/>
    </cacheField>
    <cacheField name="Dealer_Name" numFmtId="0">
      <sharedItems/>
    </cacheField>
    <cacheField name="Dealer_Region" numFmtId="0">
      <sharedItems count="4">
        <s v="Northeast"/>
        <s v="West"/>
        <s v="South"/>
        <s v="Midwest"/>
      </sharedItems>
    </cacheField>
    <cacheField name="Fuel_Type" numFmtId="0">
      <sharedItems count="4">
        <s v="Gasoline"/>
        <s v="Electric"/>
        <s v="Hybrid"/>
        <s v="Hydrogen"/>
      </sharedItems>
    </cacheField>
    <cacheField name="Engine_Size" numFmtId="0">
      <sharedItems/>
    </cacheField>
    <cacheField name="Color" numFmtId="0">
      <sharedItems/>
    </cacheField>
    <cacheField name="Mileage" numFmtId="3">
      <sharedItems containsSemiMixedTypes="0" containsString="0" containsNumber="1" containsInteger="1" minValue="500" maxValue="48000"/>
    </cacheField>
    <cacheField name="Model_Year" numFmtId="0">
      <sharedItems containsMixedTypes="1" containsNumber="1" containsInteger="1" minValue="2016" maxValue="2024"/>
    </cacheField>
    <cacheField name="Sales_Date" numFmtId="165">
      <sharedItems containsSemiMixedTypes="0" containsNonDate="0" containsDate="1" containsString="0" minDate="2024-01-01T00:00:00" maxDate="2024-12-02T00:00:00" count="12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</cacheField>
    <cacheField name="Quarter" numFmtId="0">
      <sharedItems count="4">
        <s v="Q1"/>
        <s v="Q2"/>
        <s v="Q3"/>
        <s v="Q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x v="0"/>
    <x v="0"/>
    <x v="0"/>
    <x v="0"/>
    <x v="0"/>
    <x v="0"/>
    <n v="24500"/>
    <x v="0"/>
    <s v="John Smith"/>
    <s v="john.smith@email.com"/>
    <s v="Metro Honda"/>
    <x v="0"/>
    <x v="0"/>
    <s v="1.5L"/>
    <s v="Blue"/>
    <n v="15000"/>
    <n v="2021"/>
    <x v="0"/>
    <x v="0"/>
  </r>
  <r>
    <x v="1"/>
    <x v="1"/>
    <x v="1"/>
    <x v="0"/>
    <x v="0"/>
    <x v="0"/>
    <n v="24500"/>
    <x v="0"/>
    <s v="Sarah Johnson"/>
    <s v="sarah.j@gmail.com"/>
    <s v="Toyota Center"/>
    <x v="1"/>
    <x v="0"/>
    <s v="1.8L"/>
    <s v="White"/>
    <n v="8500"/>
    <n v="2021"/>
    <x v="0"/>
    <x v="0"/>
  </r>
  <r>
    <x v="2"/>
    <x v="2"/>
    <x v="2"/>
    <x v="0"/>
    <x v="1"/>
    <x v="0"/>
    <n v="26800"/>
    <x v="1"/>
    <s v="Mike Davis"/>
    <s v="m.davis@yahoo.com"/>
    <s v="Unknown"/>
    <x v="0"/>
    <x v="0"/>
    <s v="2.5L"/>
    <s v="Silver"/>
    <n v="22000"/>
    <n v="2020"/>
    <x v="1"/>
    <x v="0"/>
  </r>
  <r>
    <x v="3"/>
    <x v="3"/>
    <x v="3"/>
    <x v="0"/>
    <x v="0"/>
    <x v="0"/>
    <n v="22900"/>
    <x v="0"/>
    <s v="Lisa Chen"/>
    <s v="lisa.chen@outlook.com"/>
    <s v="Hyundai Plus"/>
    <x v="1"/>
    <x v="0"/>
    <s v="2.0L"/>
    <s v="Red"/>
    <n v="12000"/>
    <n v="2022"/>
    <x v="1"/>
    <x v="0"/>
  </r>
  <r>
    <x v="4"/>
    <x v="3"/>
    <x v="4"/>
    <x v="1"/>
    <x v="2"/>
    <x v="0"/>
    <n v="29500"/>
    <x v="1"/>
    <s v="Robert Wilson"/>
    <s v="rwilson@email.com"/>
    <s v="Hyundai Plus"/>
    <x v="1"/>
    <x v="0"/>
    <s v="2.4L"/>
    <s v="Black"/>
    <n v="28000"/>
    <n v="2019"/>
    <x v="1"/>
    <x v="0"/>
  </r>
  <r>
    <x v="5"/>
    <x v="4"/>
    <x v="5"/>
    <x v="1"/>
    <x v="3"/>
    <x v="0"/>
    <n v="38900"/>
    <x v="1"/>
    <s v="Amanda Taylor"/>
    <s v="a.taylor@gmail.com"/>
    <s v="Jeep Nation"/>
    <x v="2"/>
    <x v="0"/>
    <s v="3.6L"/>
    <s v="Gray"/>
    <n v="35000"/>
    <n v="2020"/>
    <x v="1"/>
    <x v="0"/>
  </r>
  <r>
    <x v="6"/>
    <x v="5"/>
    <x v="6"/>
    <x v="2"/>
    <x v="4"/>
    <x v="0"/>
    <n v="42000"/>
    <x v="2"/>
    <s v="David Brown"/>
    <s v="david.brown@email.com"/>
    <s v="Ford Country"/>
    <x v="3"/>
    <x v="0"/>
    <s v="5.0L"/>
    <s v="Blue"/>
    <n v="18000"/>
    <n v="2021"/>
    <x v="1"/>
    <x v="0"/>
  </r>
  <r>
    <x v="7"/>
    <x v="6"/>
    <x v="7"/>
    <x v="0"/>
    <x v="1"/>
    <x v="0"/>
    <n v="25500"/>
    <x v="1"/>
    <s v="Unknown"/>
    <s v="chevy.fan@gmail.com"/>
    <s v="Chevy World"/>
    <x v="3"/>
    <x v="0"/>
    <s v="1.5L"/>
    <s v="White"/>
    <n v="16000"/>
    <n v="2022"/>
    <x v="1"/>
    <x v="0"/>
  </r>
  <r>
    <x v="8"/>
    <x v="7"/>
    <x v="8"/>
    <x v="1"/>
    <x v="3"/>
    <x v="1"/>
    <n v="45900"/>
    <x v="2"/>
    <s v="Jennifer Garcia"/>
    <s v="j.garcia@email.com"/>
    <s v="BMW Elite"/>
    <x v="0"/>
    <x v="0"/>
    <s v="2.0L"/>
    <s v="Black"/>
    <n v="24000"/>
    <n v="2021"/>
    <x v="2"/>
    <x v="0"/>
  </r>
  <r>
    <x v="9"/>
    <x v="8"/>
    <x v="9"/>
    <x v="0"/>
    <x v="1"/>
    <x v="1"/>
    <n v="89500"/>
    <x v="3"/>
    <s v="Michael Rodriguez"/>
    <s v="mrodriguez@email.com"/>
    <s v="Tesla Direct"/>
    <x v="1"/>
    <x v="1"/>
    <s v="N/A (EV/Hydrogen)"/>
    <s v="Red"/>
    <n v="8000"/>
    <n v="2023"/>
    <x v="2"/>
    <x v="0"/>
  </r>
  <r>
    <x v="10"/>
    <x v="0"/>
    <x v="10"/>
    <x v="0"/>
    <x v="1"/>
    <x v="0"/>
    <n v="28900"/>
    <x v="1"/>
    <s v="Patricia Martinez"/>
    <s v="p.martinez@gmail.com"/>
    <s v="Metro Honda"/>
    <x v="0"/>
    <x v="0"/>
    <s v="1.5L"/>
    <s v="Silver"/>
    <n v="19000"/>
    <n v="2021"/>
    <x v="2"/>
    <x v="0"/>
  </r>
  <r>
    <x v="1"/>
    <x v="1"/>
    <x v="1"/>
    <x v="0"/>
    <x v="0"/>
    <x v="0"/>
    <n v="23200"/>
    <x v="0"/>
    <s v="Sarah Johnson"/>
    <s v="sarah.j@gmail.com"/>
    <s v="Toyota Center"/>
    <x v="1"/>
    <x v="0"/>
    <s v="1.8L"/>
    <s v="White"/>
    <n v="8500"/>
    <n v="2022"/>
    <x v="2"/>
    <x v="0"/>
  </r>
  <r>
    <x v="11"/>
    <x v="1"/>
    <x v="11"/>
    <x v="0"/>
    <x v="1"/>
    <x v="0"/>
    <n v="31200"/>
    <x v="1"/>
    <s v="James Anderson"/>
    <s v="james.anderson@email.com"/>
    <s v="Toyota Center"/>
    <x v="1"/>
    <x v="2"/>
    <s v="2.5L"/>
    <s v="Blue"/>
    <n v="14000"/>
    <n v="2022"/>
    <x v="2"/>
    <x v="0"/>
  </r>
  <r>
    <x v="12"/>
    <x v="2"/>
    <x v="2"/>
    <x v="0"/>
    <x v="1"/>
    <x v="0"/>
    <n v="27500"/>
    <x v="1"/>
    <s v="Mary Thomas"/>
    <s v="mthomas@email.com"/>
    <s v="Nissan Direct"/>
    <x v="2"/>
    <x v="0"/>
    <s v="2.5L"/>
    <s v="Unknown"/>
    <n v="26000"/>
    <n v="2020"/>
    <x v="2"/>
    <x v="0"/>
  </r>
  <r>
    <x v="13"/>
    <x v="3"/>
    <x v="12"/>
    <x v="1"/>
    <x v="2"/>
    <x v="0"/>
    <n v="35800"/>
    <x v="1"/>
    <s v="Christopher Jackson"/>
    <s v="c.jackson@gmail.com"/>
    <s v="Hyundai Plus"/>
    <x v="1"/>
    <x v="0"/>
    <s v="2.4L"/>
    <s v="White"/>
    <n v="31000"/>
    <n v="2019"/>
    <x v="2"/>
    <x v="0"/>
  </r>
  <r>
    <x v="14"/>
    <x v="4"/>
    <x v="5"/>
    <x v="1"/>
    <x v="3"/>
    <x v="0"/>
    <n v="41200"/>
    <x v="2"/>
    <s v="Elizabeth White"/>
    <s v="e.white@email.com"/>
    <s v="Jeep Nation"/>
    <x v="2"/>
    <x v="0"/>
    <s v="3.6L"/>
    <s v="Black"/>
    <n v="29000"/>
    <n v="2020"/>
    <x v="2"/>
    <x v="0"/>
  </r>
  <r>
    <x v="15"/>
    <x v="5"/>
    <x v="6"/>
    <x v="2"/>
    <x v="4"/>
    <x v="0"/>
    <n v="44500"/>
    <x v="2"/>
    <s v="Daniel Harris"/>
    <s v="d.harris@email.com"/>
    <s v="Ford Country"/>
    <x v="3"/>
    <x v="0"/>
    <s v="5.0L"/>
    <s v="Red"/>
    <n v="21000"/>
    <n v="2021"/>
    <x v="2"/>
    <x v="0"/>
  </r>
  <r>
    <x v="16"/>
    <x v="6"/>
    <x v="13"/>
    <x v="0"/>
    <x v="0"/>
    <x v="0"/>
    <n v="24800"/>
    <x v="0"/>
    <s v="Susan Martin"/>
    <s v="s.martin@gmail.com"/>
    <s v="Chevy World"/>
    <x v="3"/>
    <x v="0"/>
    <s v="1.4L"/>
    <s v="Silver"/>
    <n v="17000"/>
    <n v="2022"/>
    <x v="3"/>
    <x v="1"/>
  </r>
  <r>
    <x v="17"/>
    <x v="7"/>
    <x v="14"/>
    <x v="1"/>
    <x v="3"/>
    <x v="1"/>
    <n v="59900"/>
    <x v="2"/>
    <s v="Joseph Thompson"/>
    <s v="j.thompson@email.com"/>
    <s v="BMW Elite"/>
    <x v="0"/>
    <x v="0"/>
    <s v="3.0L"/>
    <s v="Gray"/>
    <n v="32000"/>
    <n v="2020"/>
    <x v="3"/>
    <x v="1"/>
  </r>
  <r>
    <x v="18"/>
    <x v="8"/>
    <x v="15"/>
    <x v="0"/>
    <x v="1"/>
    <x v="1"/>
    <n v="52900"/>
    <x v="2"/>
    <s v="Nancy Garcia"/>
    <s v="n.garcia@email.com"/>
    <s v="Tesla Direct"/>
    <x v="1"/>
    <x v="1"/>
    <s v="N/A (EV/Hydrogen)"/>
    <s v="White"/>
    <n v="12000"/>
    <n v="2023"/>
    <x v="3"/>
    <x v="1"/>
  </r>
  <r>
    <x v="19"/>
    <x v="0"/>
    <x v="10"/>
    <x v="0"/>
    <x v="1"/>
    <x v="0"/>
    <n v="29800"/>
    <x v="1"/>
    <s v="Kenneth Lee"/>
    <s v="k.lee@gmail.com"/>
    <s v="Metro Honda"/>
    <x v="0"/>
    <x v="0"/>
    <s v="1.5L"/>
    <s v="Black"/>
    <n v="22000"/>
    <n v="2021"/>
    <x v="3"/>
    <x v="1"/>
  </r>
  <r>
    <x v="20"/>
    <x v="1"/>
    <x v="16"/>
    <x v="0"/>
    <x v="1"/>
    <x v="0"/>
    <n v="29500"/>
    <x v="1"/>
    <s v="Linda Wilson"/>
    <s v="l.wilson@email.com"/>
    <s v="Toyota Center"/>
    <x v="1"/>
    <x v="2"/>
    <s v="1.8L"/>
    <s v="Blue"/>
    <n v="9000"/>
    <n v="2023"/>
    <x v="3"/>
    <x v="1"/>
  </r>
  <r>
    <x v="21"/>
    <x v="2"/>
    <x v="17"/>
    <x v="0"/>
    <x v="0"/>
    <x v="0"/>
    <n v="24500"/>
    <x v="0"/>
    <s v="Betty Moore"/>
    <s v="b.moore@email.com"/>
    <s v="Nissan Direct"/>
    <x v="2"/>
    <x v="0"/>
    <s v="1.6L"/>
    <s v="Red"/>
    <n v="18000"/>
    <s v="Unknown"/>
    <x v="3"/>
    <x v="1"/>
  </r>
  <r>
    <x v="22"/>
    <x v="3"/>
    <x v="4"/>
    <x v="1"/>
    <x v="2"/>
    <x v="0"/>
    <n v="32500"/>
    <x v="1"/>
    <s v="Mark Taylor"/>
    <s v="m.taylor@gmail.com"/>
    <s v="Hyundai Plus"/>
    <x v="1"/>
    <x v="0"/>
    <s v="2.4L"/>
    <s v="Silver"/>
    <n v="27000"/>
    <n v="2020"/>
    <x v="3"/>
    <x v="1"/>
  </r>
  <r>
    <x v="23"/>
    <x v="4"/>
    <x v="18"/>
    <x v="1"/>
    <x v="3"/>
    <x v="0"/>
    <n v="38900"/>
    <x v="1"/>
    <s v="Dorothy Anderson"/>
    <s v="d.anderson@email.com"/>
    <s v="Jeep Nation"/>
    <x v="2"/>
    <x v="0"/>
    <s v="3.6L"/>
    <s v="Green"/>
    <n v="15000"/>
    <n v="2022"/>
    <x v="3"/>
    <x v="1"/>
  </r>
  <r>
    <x v="24"/>
    <x v="5"/>
    <x v="19"/>
    <x v="1"/>
    <x v="3"/>
    <x v="0"/>
    <n v="36800"/>
    <x v="1"/>
    <s v="Steven Thomas"/>
    <s v="s.thomas@email.com"/>
    <s v="Ford Country"/>
    <x v="3"/>
    <x v="0"/>
    <s v="2.3L"/>
    <s v="Blue"/>
    <n v="25000"/>
    <n v="2021"/>
    <x v="3"/>
    <x v="1"/>
  </r>
  <r>
    <x v="25"/>
    <x v="6"/>
    <x v="20"/>
    <x v="1"/>
    <x v="2"/>
    <x v="0"/>
    <n v="28900"/>
    <x v="1"/>
    <s v="Helen Jackson"/>
    <s v="h.jackson@gmail.com"/>
    <s v="Chevy World"/>
    <x v="3"/>
    <x v="0"/>
    <s v="1.5L"/>
    <s v="White"/>
    <n v="20000"/>
    <n v="2022"/>
    <x v="3"/>
    <x v="1"/>
  </r>
  <r>
    <x v="26"/>
    <x v="7"/>
    <x v="21"/>
    <x v="0"/>
    <x v="1"/>
    <x v="1"/>
    <n v="42900"/>
    <x v="2"/>
    <s v="Edward White"/>
    <s v="e.white@email.com"/>
    <s v="BMW Elite"/>
    <x v="0"/>
    <x v="0"/>
    <s v="2.0L"/>
    <s v="Black"/>
    <n v="28000"/>
    <n v="2020"/>
    <x v="4"/>
    <x v="1"/>
  </r>
  <r>
    <x v="27"/>
    <x v="8"/>
    <x v="22"/>
    <x v="1"/>
    <x v="3"/>
    <x v="1"/>
    <n v="58900"/>
    <x v="2"/>
    <s v="Donna Harris"/>
    <s v="d.harris@email.com"/>
    <s v="Tesla Direct"/>
    <x v="1"/>
    <x v="1"/>
    <s v="N/A (EV/Hydrogen)"/>
    <s v="Gray"/>
    <n v="6000"/>
    <n v="2024"/>
    <x v="4"/>
    <x v="1"/>
  </r>
  <r>
    <x v="28"/>
    <x v="0"/>
    <x v="23"/>
    <x v="1"/>
    <x v="2"/>
    <x v="0"/>
    <n v="33500"/>
    <x v="1"/>
    <s v="Frank Martin"/>
    <s v="f.martin@gmail.com"/>
    <s v="Metro Honda"/>
    <x v="0"/>
    <x v="0"/>
    <s v="1.5L"/>
    <s v="Red"/>
    <n v="16000"/>
    <n v="2022"/>
    <x v="4"/>
    <x v="1"/>
  </r>
  <r>
    <x v="29"/>
    <x v="1"/>
    <x v="24"/>
    <x v="1"/>
    <x v="2"/>
    <x v="0"/>
    <n v="35800"/>
    <x v="1"/>
    <s v="Ruth Thompson"/>
    <s v="r.thompson@email.com"/>
    <s v="Toyota Center"/>
    <x v="1"/>
    <x v="0"/>
    <s v="2.5L"/>
    <s v="Silver"/>
    <n v="11000"/>
    <n v="2023"/>
    <x v="4"/>
    <x v="1"/>
  </r>
  <r>
    <x v="30"/>
    <x v="2"/>
    <x v="25"/>
    <x v="1"/>
    <x v="2"/>
    <x v="0"/>
    <n v="29800"/>
    <x v="1"/>
    <s v="Joe Garcia"/>
    <s v="j.garcia@email.com"/>
    <s v="Nissan Direct"/>
    <x v="2"/>
    <x v="0"/>
    <s v="2.5L"/>
    <s v="Blue"/>
    <n v="24000"/>
    <n v="2021"/>
    <x v="4"/>
    <x v="1"/>
  </r>
  <r>
    <x v="31"/>
    <x v="3"/>
    <x v="26"/>
    <x v="0"/>
    <x v="1"/>
    <x v="0"/>
    <n v="26500"/>
    <x v="1"/>
    <s v="Frances Lee"/>
    <s v="f.lee@gmail.com"/>
    <s v="Hyundai Plus"/>
    <x v="1"/>
    <x v="0"/>
    <s v="2.5L"/>
    <s v="Black"/>
    <n v="19000"/>
    <n v="2022"/>
    <x v="4"/>
    <x v="1"/>
  </r>
  <r>
    <x v="32"/>
    <x v="4"/>
    <x v="27"/>
    <x v="1"/>
    <x v="3"/>
    <x v="0"/>
    <n v="27900"/>
    <x v="1"/>
    <s v="Raymond Wilson"/>
    <s v="r.wilson@email.com"/>
    <s v="Jeep Nation"/>
    <x v="2"/>
    <x v="0"/>
    <s v="2.4L"/>
    <s v="White"/>
    <n v="22000"/>
    <n v="2021"/>
    <x v="4"/>
    <x v="1"/>
  </r>
  <r>
    <x v="33"/>
    <x v="5"/>
    <x v="28"/>
    <x v="1"/>
    <x v="2"/>
    <x v="0"/>
    <n v="30200"/>
    <x v="1"/>
    <s v="Marie Moore"/>
    <s v="m.moore@email.com"/>
    <s v="Ford Country"/>
    <x v="3"/>
    <x v="0"/>
    <s v="1.5L"/>
    <s v="Gray"/>
    <n v="17000"/>
    <n v="2022"/>
    <x v="4"/>
    <x v="1"/>
  </r>
  <r>
    <x v="34"/>
    <x v="6"/>
    <x v="29"/>
    <x v="1"/>
    <x v="3"/>
    <x v="0"/>
    <n v="39500"/>
    <x v="1"/>
    <s v="Albert Taylor"/>
    <s v="a.taylor@gmail.com"/>
    <s v="Chevy World"/>
    <x v="3"/>
    <x v="0"/>
    <s v="3.6L"/>
    <s v="Blue"/>
    <n v="26000"/>
    <n v="2020"/>
    <x v="4"/>
    <x v="1"/>
  </r>
  <r>
    <x v="35"/>
    <x v="7"/>
    <x v="30"/>
    <x v="1"/>
    <x v="3"/>
    <x v="1"/>
    <n v="38900"/>
    <x v="1"/>
    <s v="Gloria Anderson"/>
    <s v="g.anderson@email.com"/>
    <s v="BMW Elite"/>
    <x v="0"/>
    <x v="0"/>
    <s v="2.0L"/>
    <s v="Silver"/>
    <n v="21000"/>
    <n v="2021"/>
    <x v="4"/>
    <x v="1"/>
  </r>
  <r>
    <x v="36"/>
    <x v="8"/>
    <x v="31"/>
    <x v="1"/>
    <x v="3"/>
    <x v="1"/>
    <n v="99900"/>
    <x v="4"/>
    <s v="Willie Thomas"/>
    <s v="w.thomas@email.com"/>
    <s v="Tesla Direct"/>
    <x v="1"/>
    <x v="1"/>
    <s v="N/A (EV/Hydrogen)"/>
    <s v="White"/>
    <n v="4000"/>
    <n v="2024"/>
    <x v="4"/>
    <x v="1"/>
  </r>
  <r>
    <x v="37"/>
    <x v="0"/>
    <x v="32"/>
    <x v="1"/>
    <x v="3"/>
    <x v="0"/>
    <n v="42500"/>
    <x v="2"/>
    <s v="Jean Jackson"/>
    <s v="j.jackson@gmail.com"/>
    <s v="Metro Honda"/>
    <x v="0"/>
    <x v="0"/>
    <s v="3.5L"/>
    <s v="Black"/>
    <n v="23000"/>
    <n v="2021"/>
    <x v="4"/>
    <x v="1"/>
  </r>
  <r>
    <x v="38"/>
    <x v="1"/>
    <x v="33"/>
    <x v="1"/>
    <x v="3"/>
    <x v="0"/>
    <n v="44800"/>
    <x v="2"/>
    <s v="Ralph White"/>
    <s v="r.white@email.com"/>
    <s v="Toyota Center"/>
    <x v="1"/>
    <x v="0"/>
    <s v="3.5L"/>
    <s v="Gray"/>
    <n v="18000"/>
    <n v="2022"/>
    <x v="5"/>
    <x v="1"/>
  </r>
  <r>
    <x v="39"/>
    <x v="2"/>
    <x v="34"/>
    <x v="1"/>
    <x v="3"/>
    <x v="0"/>
    <n v="34500"/>
    <x v="1"/>
    <s v="Evelyn Harris"/>
    <s v="e.harris@email.com"/>
    <s v="Nissan Direct"/>
    <x v="2"/>
    <x v="0"/>
    <s v="3.5L"/>
    <s v="Red"/>
    <n v="25000"/>
    <n v="2020"/>
    <x v="5"/>
    <x v="1"/>
  </r>
  <r>
    <x v="40"/>
    <x v="3"/>
    <x v="35"/>
    <x v="0"/>
    <x v="1"/>
    <x v="0"/>
    <n v="48900"/>
    <x v="2"/>
    <s v="Wayne Martin"/>
    <s v="w.martin@gmail.com"/>
    <s v="Hyundai Plus"/>
    <x v="1"/>
    <x v="0"/>
    <s v="3.3L"/>
    <s v="Blue"/>
    <n v="14000"/>
    <n v="2023"/>
    <x v="5"/>
    <x v="1"/>
  </r>
  <r>
    <x v="41"/>
    <x v="4"/>
    <x v="36"/>
    <x v="1"/>
    <x v="3"/>
    <x v="0"/>
    <n v="31800"/>
    <x v="1"/>
    <s v="Kathryn Thompson"/>
    <s v="k.thompson@email.com"/>
    <s v="Jeep Nation"/>
    <x v="2"/>
    <x v="0"/>
    <s v="2.4L"/>
    <s v="Silver"/>
    <n v="20000"/>
    <n v="2021"/>
    <x v="5"/>
    <x v="1"/>
  </r>
  <r>
    <x v="42"/>
    <x v="5"/>
    <x v="37"/>
    <x v="3"/>
    <x v="5"/>
    <x v="0"/>
    <n v="35900"/>
    <x v="1"/>
    <s v="Arthur Garcia"/>
    <s v="a.garcia@email.com"/>
    <s v="Ford Country"/>
    <x v="3"/>
    <x v="0"/>
    <s v="2.3L"/>
    <s v="Red"/>
    <n v="8000"/>
    <n v="2023"/>
    <x v="5"/>
    <x v="1"/>
  </r>
  <r>
    <x v="43"/>
    <x v="6"/>
    <x v="38"/>
    <x v="3"/>
    <x v="5"/>
    <x v="0"/>
    <n v="35901"/>
    <x v="1"/>
    <s v="Arthur Garcia"/>
    <s v="a.garcia@email.com"/>
    <s v="Ford Country"/>
    <x v="3"/>
    <x v="0"/>
    <s v="2.3L"/>
    <s v="Red"/>
    <n v="8000"/>
    <n v="2023"/>
    <x v="5"/>
    <x v="1"/>
  </r>
  <r>
    <x v="44"/>
    <x v="7"/>
    <x v="39"/>
    <x v="3"/>
    <x v="6"/>
    <x v="1"/>
    <n v="49900"/>
    <x v="2"/>
    <s v="Harold Wilson"/>
    <s v="h.wilson@email.com"/>
    <s v="BMW Elite"/>
    <x v="0"/>
    <x v="0"/>
    <s v="2.0L"/>
    <s v="Black"/>
    <n v="15000"/>
    <n v="2022"/>
    <x v="5"/>
    <x v="1"/>
  </r>
  <r>
    <x v="45"/>
    <x v="0"/>
    <x v="40"/>
    <x v="2"/>
    <x v="4"/>
    <x v="0"/>
    <n v="39800"/>
    <x v="1"/>
    <s v="Virginia Moore"/>
    <s v="v.moore@email.com"/>
    <s v="Metro Honda"/>
    <x v="0"/>
    <x v="0"/>
    <s v="3.5L"/>
    <s v="White"/>
    <n v="19000"/>
    <n v="2021"/>
    <x v="5"/>
    <x v="1"/>
  </r>
  <r>
    <x v="46"/>
    <x v="1"/>
    <x v="41"/>
    <x v="2"/>
    <x v="4"/>
    <x v="0"/>
    <n v="33500"/>
    <x v="1"/>
    <s v="Roy Taylor"/>
    <s v="r.taylor@email.com"/>
    <s v="Toyota Center"/>
    <x v="1"/>
    <x v="0"/>
    <s v="2.7L"/>
    <s v="Gray"/>
    <n v="21000"/>
    <n v="2020"/>
    <x v="5"/>
    <x v="1"/>
  </r>
  <r>
    <x v="47"/>
    <x v="2"/>
    <x v="42"/>
    <x v="2"/>
    <x v="4"/>
    <x v="0"/>
    <n v="37900"/>
    <x v="1"/>
    <s v="Shirley Anderson"/>
    <s v="s.anderson@email.com"/>
    <s v="Nissan Direct"/>
    <x v="2"/>
    <x v="0"/>
    <s v="5.6L"/>
    <s v="Blue"/>
    <n v="24000"/>
    <n v="2020"/>
    <x v="5"/>
    <x v="1"/>
  </r>
  <r>
    <x v="48"/>
    <x v="5"/>
    <x v="43"/>
    <x v="2"/>
    <x v="4"/>
    <x v="0"/>
    <n v="29800"/>
    <x v="1"/>
    <s v="Louis Thomas"/>
    <s v="l.thomas@email.com"/>
    <s v="Ford Country"/>
    <x v="3"/>
    <x v="0"/>
    <s v="2.3L"/>
    <s v="Black"/>
    <n v="16000"/>
    <n v="2022"/>
    <x v="5"/>
    <x v="1"/>
  </r>
  <r>
    <x v="49"/>
    <x v="6"/>
    <x v="44"/>
    <x v="2"/>
    <x v="4"/>
    <x v="0"/>
    <n v="41200"/>
    <x v="2"/>
    <s v="Ann Jackson"/>
    <s v="a.jackson@gmail.com"/>
    <s v="Chevy World"/>
    <x v="3"/>
    <x v="0"/>
    <s v="4.3L"/>
    <s v="Red"/>
    <n v="22000"/>
    <n v="2021"/>
    <x v="5"/>
    <x v="1"/>
  </r>
  <r>
    <x v="50"/>
    <x v="8"/>
    <x v="45"/>
    <x v="2"/>
    <x v="4"/>
    <x v="1"/>
    <n v="79900"/>
    <x v="3"/>
    <s v="Eugene White"/>
    <s v="e.white2@email.com"/>
    <s v="Tesla Direct"/>
    <x v="1"/>
    <x v="1"/>
    <s v="N/A (EV/Hydrogen)"/>
    <s v="Silver"/>
    <n v="1000"/>
    <n v="2024"/>
    <x v="5"/>
    <x v="1"/>
  </r>
  <r>
    <x v="51"/>
    <x v="0"/>
    <x v="46"/>
    <x v="0"/>
    <x v="1"/>
    <x v="0"/>
    <n v="26900"/>
    <x v="1"/>
    <s v="Diane Harris"/>
    <s v="d.harris2@email.com"/>
    <s v="Metro Honda"/>
    <x v="0"/>
    <x v="2"/>
    <s v="1.5L"/>
    <s v="Blue"/>
    <n v="13000"/>
    <n v="2022"/>
    <x v="6"/>
    <x v="2"/>
  </r>
  <r>
    <x v="52"/>
    <x v="1"/>
    <x v="47"/>
    <x v="0"/>
    <x v="1"/>
    <x v="0"/>
    <n v="39500"/>
    <x v="1"/>
    <s v="Philip Martin"/>
    <s v="p.martin@email.com"/>
    <s v="Toyota Center"/>
    <x v="1"/>
    <x v="0"/>
    <s v="3.5L"/>
    <s v="Black"/>
    <n v="17000"/>
    <n v="2021"/>
    <x v="6"/>
    <x v="2"/>
  </r>
  <r>
    <x v="53"/>
    <x v="2"/>
    <x v="48"/>
    <x v="0"/>
    <x v="1"/>
    <x v="0"/>
    <n v="36800"/>
    <x v="1"/>
    <s v="Joyce Thompson"/>
    <s v="j.thompson2@email.com"/>
    <s v="Nissan Direct"/>
    <x v="2"/>
    <x v="0"/>
    <s v="3.5L"/>
    <s v="White"/>
    <n v="19000"/>
    <n v="2021"/>
    <x v="6"/>
    <x v="2"/>
  </r>
  <r>
    <x v="54"/>
    <x v="3"/>
    <x v="49"/>
    <x v="0"/>
    <x v="0"/>
    <x v="0"/>
    <n v="18900"/>
    <x v="0"/>
    <s v="Bobby Garcia"/>
    <s v="b.garcia@email.com"/>
    <s v="Hyundai Plus"/>
    <x v="1"/>
    <x v="0"/>
    <s v="1.6L"/>
    <s v="Red"/>
    <n v="14000"/>
    <n v="2022"/>
    <x v="6"/>
    <x v="2"/>
  </r>
  <r>
    <x v="55"/>
    <x v="4"/>
    <x v="50"/>
    <x v="2"/>
    <x v="4"/>
    <x v="0"/>
    <n v="43500"/>
    <x v="2"/>
    <s v="Gloria Lee"/>
    <s v="g.lee@gmail.com"/>
    <s v="Jeep Nation"/>
    <x v="2"/>
    <x v="0"/>
    <s v="3.6L"/>
    <s v="Orange"/>
    <n v="11000"/>
    <n v="2023"/>
    <x v="6"/>
    <x v="2"/>
  </r>
  <r>
    <x v="56"/>
    <x v="7"/>
    <x v="51"/>
    <x v="0"/>
    <x v="1"/>
    <x v="1"/>
    <n v="89900"/>
    <x v="3"/>
    <s v="Keith Wilson"/>
    <s v="k.wilson@email.com"/>
    <s v="BMW Elite"/>
    <x v="0"/>
    <x v="0"/>
    <s v="3.0L"/>
    <s v="Gray"/>
    <n v="26000"/>
    <n v="2020"/>
    <x v="6"/>
    <x v="2"/>
  </r>
  <r>
    <x v="57"/>
    <x v="8"/>
    <x v="52"/>
    <x v="3"/>
    <x v="7"/>
    <x v="1"/>
    <n v="129900"/>
    <x v="4"/>
    <s v="Jacqueline Moore"/>
    <s v="j.moore@email.com"/>
    <s v="Tesla Direct"/>
    <x v="1"/>
    <x v="1"/>
    <s v="N/A (EV/Hydrogen)"/>
    <s v="Red"/>
    <n v="500"/>
    <n v="2024"/>
    <x v="6"/>
    <x v="2"/>
  </r>
  <r>
    <x v="58"/>
    <x v="0"/>
    <x v="53"/>
    <x v="1"/>
    <x v="3"/>
    <x v="0"/>
    <n v="37800"/>
    <x v="1"/>
    <s v="Billy Taylor"/>
    <s v="b.taylor@email.com"/>
    <s v="Metro Honda"/>
    <x v="0"/>
    <x v="0"/>
    <s v="3.5L"/>
    <s v="Silver"/>
    <n v="20000"/>
    <n v="2021"/>
    <x v="6"/>
    <x v="2"/>
  </r>
  <r>
    <x v="59"/>
    <x v="1"/>
    <x v="54"/>
    <x v="1"/>
    <x v="3"/>
    <x v="0"/>
    <n v="56900"/>
    <x v="2"/>
    <s v="Martha Anderson"/>
    <s v="m.anderson@email.com"/>
    <s v="Toyota Center"/>
    <x v="1"/>
    <x v="0"/>
    <s v="5.7L"/>
    <s v="Black"/>
    <n v="28000"/>
    <n v="2019"/>
    <x v="6"/>
    <x v="2"/>
  </r>
  <r>
    <x v="60"/>
    <x v="2"/>
    <x v="55"/>
    <x v="1"/>
    <x v="3"/>
    <x v="0"/>
    <n v="51200"/>
    <x v="2"/>
    <s v="Terry Thomas"/>
    <s v="t.thomas@email.com"/>
    <s v="Nissan Direct"/>
    <x v="2"/>
    <x v="0"/>
    <s v="5.6L"/>
    <s v="Blue"/>
    <n v="30000"/>
    <n v="2020"/>
    <x v="6"/>
    <x v="2"/>
  </r>
  <r>
    <x v="61"/>
    <x v="3"/>
    <x v="56"/>
    <x v="1"/>
    <x v="3"/>
    <x v="0"/>
    <n v="47500"/>
    <x v="2"/>
    <s v="Debra Jackson"/>
    <s v="d.jackson@gmail.com"/>
    <s v="Hyundai Plus"/>
    <x v="1"/>
    <x v="0"/>
    <s v="3.8L"/>
    <s v="White"/>
    <n v="16000"/>
    <n v="2022"/>
    <x v="6"/>
    <x v="2"/>
  </r>
  <r>
    <x v="62"/>
    <x v="5"/>
    <x v="57"/>
    <x v="1"/>
    <x v="3"/>
    <x v="0"/>
    <n v="38900"/>
    <x v="1"/>
    <s v="Gerald White"/>
    <s v="g.white@email.com"/>
    <s v="Ford Country"/>
    <x v="3"/>
    <x v="0"/>
    <s v="2.3L"/>
    <s v="Green"/>
    <n v="9000"/>
    <n v="2023"/>
    <x v="6"/>
    <x v="2"/>
  </r>
  <r>
    <x v="63"/>
    <x v="6"/>
    <x v="58"/>
    <x v="1"/>
    <x v="3"/>
    <x v="0"/>
    <n v="58900"/>
    <x v="2"/>
    <s v="Sandra Harris"/>
    <s v="s.harris@email.com"/>
    <s v="Chevy World"/>
    <x v="3"/>
    <x v="0"/>
    <s v="5.3L"/>
    <s v="Gray"/>
    <n v="25000"/>
    <n v="2020"/>
    <x v="6"/>
    <x v="2"/>
  </r>
  <r>
    <x v="64"/>
    <x v="7"/>
    <x v="59"/>
    <x v="3"/>
    <x v="6"/>
    <x v="1"/>
    <n v="99900"/>
    <x v="4"/>
    <s v="Paul Martin"/>
    <s v="p.martin2@email.com"/>
    <s v="BMW Elite"/>
    <x v="0"/>
    <x v="0"/>
    <s v="3.0L"/>
    <s v="Blue"/>
    <n v="18000"/>
    <n v="2022"/>
    <x v="6"/>
    <x v="2"/>
  </r>
  <r>
    <x v="65"/>
    <x v="0"/>
    <x v="60"/>
    <x v="4"/>
    <x v="8"/>
    <x v="0"/>
    <n v="35800"/>
    <x v="1"/>
    <s v="Betty Thompson"/>
    <s v="b.thompson@email.com"/>
    <s v="Metro Honda"/>
    <x v="0"/>
    <x v="0"/>
    <s v="3.5L"/>
    <s v="Silver"/>
    <n v="22000"/>
    <n v="2021"/>
    <x v="7"/>
    <x v="2"/>
  </r>
  <r>
    <x v="66"/>
    <x v="1"/>
    <x v="61"/>
    <x v="4"/>
    <x v="8"/>
    <x v="0"/>
    <n v="39500"/>
    <x v="1"/>
    <s v="Kenneth Garcia"/>
    <s v="k.garcia@email.com"/>
    <s v="Toyota Center"/>
    <x v="1"/>
    <x v="2"/>
    <s v="2.5L"/>
    <s v="White"/>
    <n v="15000"/>
    <n v="2022"/>
    <x v="7"/>
    <x v="2"/>
  </r>
  <r>
    <x v="67"/>
    <x v="2"/>
    <x v="62"/>
    <x v="4"/>
    <x v="8"/>
    <x v="0"/>
    <n v="32900"/>
    <x v="1"/>
    <s v="Helen Lee"/>
    <s v="h.lee@gmail.com"/>
    <s v="Nissan Direct"/>
    <x v="2"/>
    <x v="0"/>
    <s v="3.5L"/>
    <s v="Black"/>
    <n v="24000"/>
    <n v="2020"/>
    <x v="7"/>
    <x v="2"/>
  </r>
  <r>
    <x v="68"/>
    <x v="3"/>
    <x v="63"/>
    <x v="4"/>
    <x v="8"/>
    <x v="0"/>
    <n v="28900"/>
    <x v="1"/>
    <s v="Donald Wilson"/>
    <s v="d.wilson@email.com"/>
    <s v="Hyundai Plus"/>
    <x v="1"/>
    <x v="0"/>
    <s v="3.8L"/>
    <s v="Blue"/>
    <n v="27000"/>
    <n v="2019"/>
    <x v="7"/>
    <x v="2"/>
  </r>
  <r>
    <x v="69"/>
    <x v="5"/>
    <x v="64"/>
    <x v="4"/>
    <x v="8"/>
    <x v="0"/>
    <n v="28901"/>
    <x v="1"/>
    <s v="Donald Wilson"/>
    <s v="d.wilson@email.com"/>
    <s v="Hyundai Plus"/>
    <x v="1"/>
    <x v="0"/>
    <s v="3.8L"/>
    <s v="Blue"/>
    <n v="27000"/>
    <n v="2019"/>
    <x v="7"/>
    <x v="2"/>
  </r>
  <r>
    <x v="70"/>
    <x v="6"/>
    <x v="65"/>
    <x v="4"/>
    <x v="8"/>
    <x v="0"/>
    <n v="33500"/>
    <x v="1"/>
    <s v="George Taylor"/>
    <s v="g.taylor@email.com"/>
    <s v="Chevy World"/>
    <x v="3"/>
    <x v="0"/>
    <s v="4.3L"/>
    <s v="Gray"/>
    <n v="21000"/>
    <n v="2021"/>
    <x v="7"/>
    <x v="2"/>
  </r>
  <r>
    <x v="71"/>
    <x v="8"/>
    <x v="66"/>
    <x v="2"/>
    <x v="4"/>
    <x v="1"/>
    <n v="179900"/>
    <x v="5"/>
    <s v="Maria Anderson"/>
    <s v="m.anderson2@email.com"/>
    <s v="Tesla Direct"/>
    <x v="1"/>
    <x v="1"/>
    <s v="N/A (EV/Hydrogen)"/>
    <s v="Silver"/>
    <n v="2000"/>
    <n v="2024"/>
    <x v="7"/>
    <x v="2"/>
  </r>
  <r>
    <x v="72"/>
    <x v="0"/>
    <x v="67"/>
    <x v="1"/>
    <x v="3"/>
    <x v="0"/>
    <n v="24900"/>
    <x v="0"/>
    <s v="Edward Thomas"/>
    <s v="e.thomas@email.com"/>
    <s v="Metro Honda"/>
    <x v="0"/>
    <x v="0"/>
    <s v="2.4L"/>
    <s v="Orange"/>
    <n v="35000"/>
    <n v="2018"/>
    <x v="7"/>
    <x v="2"/>
  </r>
  <r>
    <x v="73"/>
    <x v="1"/>
    <x v="68"/>
    <x v="1"/>
    <x v="3"/>
    <x v="0"/>
    <n v="31500"/>
    <x v="1"/>
    <s v="Michelle Jackson"/>
    <s v="m.jackson@gmail.com"/>
    <s v="Toyota Center"/>
    <x v="1"/>
    <x v="0"/>
    <s v="4.0L"/>
    <s v="Yellow"/>
    <n v="40000"/>
    <n v="2017"/>
    <x v="7"/>
    <x v="2"/>
  </r>
  <r>
    <x v="74"/>
    <x v="2"/>
    <x v="69"/>
    <x v="1"/>
    <x v="3"/>
    <x v="0"/>
    <n v="26900"/>
    <x v="1"/>
    <s v="Thomas White"/>
    <s v="t.white@email.com"/>
    <s v="Nissan Direct"/>
    <x v="2"/>
    <x v="0"/>
    <s v="4.0L"/>
    <s v="Red"/>
    <n v="38000"/>
    <n v="2018"/>
    <x v="7"/>
    <x v="2"/>
  </r>
  <r>
    <x v="75"/>
    <x v="3"/>
    <x v="70"/>
    <x v="1"/>
    <x v="3"/>
    <x v="0"/>
    <n v="23500"/>
    <x v="0"/>
    <s v="Angela Harris"/>
    <s v="a.harris@email.com"/>
    <s v="Hyundai Plus"/>
    <x v="1"/>
    <x v="0"/>
    <s v="3.8L"/>
    <s v="Black"/>
    <n v="42000"/>
    <n v="2017"/>
    <x v="7"/>
    <x v="2"/>
  </r>
  <r>
    <x v="76"/>
    <x v="4"/>
    <x v="71"/>
    <x v="1"/>
    <x v="3"/>
    <x v="0"/>
    <n v="22900"/>
    <x v="0"/>
    <s v="Matthew Martin"/>
    <s v="m.martin@gmail.com"/>
    <s v="Jeep Nation"/>
    <x v="2"/>
    <x v="0"/>
    <s v="3.7L"/>
    <s v="Silver"/>
    <n v="45000"/>
    <n v="2016"/>
    <x v="7"/>
    <x v="2"/>
  </r>
  <r>
    <x v="77"/>
    <x v="5"/>
    <x v="72"/>
    <x v="1"/>
    <x v="3"/>
    <x v="0"/>
    <n v="28900"/>
    <x v="1"/>
    <s v="Laura Thompson"/>
    <s v="l.thompson@email.com"/>
    <s v="Ford Country"/>
    <x v="3"/>
    <x v="0"/>
    <s v="5.4L"/>
    <s v="Blue"/>
    <n v="48000"/>
    <n v="2016"/>
    <x v="7"/>
    <x v="2"/>
  </r>
  <r>
    <x v="78"/>
    <x v="6"/>
    <x v="73"/>
    <x v="1"/>
    <x v="3"/>
    <x v="0"/>
    <n v="62900"/>
    <x v="3"/>
    <s v="Daniel Garcia"/>
    <s v="d.garcia@email.com"/>
    <s v="Chevy World"/>
    <x v="3"/>
    <x v="0"/>
    <s v="5.3L"/>
    <s v="White"/>
    <n v="23000"/>
    <n v="2021"/>
    <x v="7"/>
    <x v="2"/>
  </r>
  <r>
    <x v="79"/>
    <x v="7"/>
    <x v="74"/>
    <x v="0"/>
    <x v="1"/>
    <x v="1"/>
    <n v="39900"/>
    <x v="1"/>
    <s v="Rebecca Lee"/>
    <s v="r.lee@gmail.com"/>
    <s v="BMW Elite"/>
    <x v="0"/>
    <x v="1"/>
    <s v="N/A (EV/Hydrogen)"/>
    <s v="Gray"/>
    <n v="16000"/>
    <n v="2022"/>
    <x v="7"/>
    <x v="2"/>
  </r>
  <r>
    <x v="80"/>
    <x v="0"/>
    <x v="75"/>
    <x v="1"/>
    <x v="3"/>
    <x v="0"/>
    <n v="27900"/>
    <x v="1"/>
    <s v="Ryan Wilson"/>
    <s v="r.wilson2@email.com"/>
    <s v="Metro Honda"/>
    <x v="0"/>
    <x v="0"/>
    <s v="3.5L"/>
    <s v="Black"/>
    <n v="29000"/>
    <n v="2019"/>
    <x v="7"/>
    <x v="2"/>
  </r>
  <r>
    <x v="81"/>
    <x v="1"/>
    <x v="76"/>
    <x v="1"/>
    <x v="3"/>
    <x v="0"/>
    <n v="35800"/>
    <x v="1"/>
    <s v="Amy Moore"/>
    <s v="a.moore@email.com"/>
    <s v="Toyota Center"/>
    <x v="1"/>
    <x v="0"/>
    <s v="2.7L"/>
    <s v="Silver"/>
    <n v="24000"/>
    <n v="2020"/>
    <x v="8"/>
    <x v="2"/>
  </r>
  <r>
    <x v="82"/>
    <x v="2"/>
    <x v="77"/>
    <x v="1"/>
    <x v="3"/>
    <x v="0"/>
    <n v="38500"/>
    <x v="1"/>
    <s v="Jason Taylor"/>
    <s v="j.taylor@email.com"/>
    <s v="Nissan Direct"/>
    <x v="2"/>
    <x v="0"/>
    <s v="3.5L"/>
    <s v="Red"/>
    <n v="26000"/>
    <n v="2020"/>
    <x v="8"/>
    <x v="2"/>
  </r>
  <r>
    <x v="83"/>
    <x v="3"/>
    <x v="78"/>
    <x v="1"/>
    <x v="3"/>
    <x v="0"/>
    <n v="29800"/>
    <x v="1"/>
    <s v="Nicole Anderson"/>
    <s v="n.anderson@email.com"/>
    <s v="Hyundai Plus"/>
    <x v="1"/>
    <x v="0"/>
    <s v="2.4L"/>
    <s v="Blue"/>
    <n v="31000"/>
    <n v="2019"/>
    <x v="8"/>
    <x v="2"/>
  </r>
  <r>
    <x v="84"/>
    <x v="4"/>
    <x v="79"/>
    <x v="1"/>
    <x v="3"/>
    <x v="0"/>
    <n v="21900"/>
    <x v="0"/>
    <s v="Brandon Thomas"/>
    <s v="b.thomas@email.com"/>
    <s v="Jeep Nation"/>
    <x v="2"/>
    <x v="0"/>
    <s v="2.4L"/>
    <s v="Green"/>
    <n v="34000"/>
    <n v="2018"/>
    <x v="8"/>
    <x v="2"/>
  </r>
  <r>
    <x v="85"/>
    <x v="5"/>
    <x v="80"/>
    <x v="1"/>
    <x v="3"/>
    <x v="0"/>
    <n v="32500"/>
    <x v="1"/>
    <s v="Stephanie Jackson"/>
    <s v="s.jackson@gmail.com"/>
    <s v="Ford Country"/>
    <x v="3"/>
    <x v="0"/>
    <s v="2.0L"/>
    <s v="Gray"/>
    <n v="27000"/>
    <n v="2020"/>
    <x v="8"/>
    <x v="2"/>
  </r>
  <r>
    <x v="86"/>
    <x v="6"/>
    <x v="81"/>
    <x v="1"/>
    <x v="3"/>
    <x v="0"/>
    <n v="35200"/>
    <x v="1"/>
    <s v="Zachary White"/>
    <s v="z.white@email.com"/>
    <s v="Chevy World"/>
    <x v="3"/>
    <x v="0"/>
    <s v="2.5L"/>
    <s v="Black"/>
    <n v="25000"/>
    <n v="2020"/>
    <x v="8"/>
    <x v="2"/>
  </r>
  <r>
    <x v="87"/>
    <x v="8"/>
    <x v="82"/>
    <x v="0"/>
    <x v="1"/>
    <x v="1"/>
    <n v="74900"/>
    <x v="3"/>
    <s v="Samantha Harris"/>
    <s v="s.harris2@email.com"/>
    <s v="Tesla Direct"/>
    <x v="1"/>
    <x v="1"/>
    <s v="N/A (EV/Hydrogen)"/>
    <s v="White"/>
    <n v="3000"/>
    <n v="2024"/>
    <x v="8"/>
    <x v="2"/>
  </r>
  <r>
    <x v="88"/>
    <x v="0"/>
    <x v="83"/>
    <x v="0"/>
    <x v="0"/>
    <x v="0"/>
    <n v="19900"/>
    <x v="0"/>
    <s v="Gregory Martin"/>
    <s v="g.martin@email.com"/>
    <s v="Metro Honda"/>
    <x v="0"/>
    <x v="0"/>
    <s v="1.5L"/>
    <s v="Blue"/>
    <n v="21000"/>
    <n v="2021"/>
    <x v="8"/>
    <x v="2"/>
  </r>
  <r>
    <x v="89"/>
    <x v="1"/>
    <x v="84"/>
    <x v="0"/>
    <x v="0"/>
    <x v="0"/>
    <n v="18500"/>
    <x v="0"/>
    <s v="Christina Thompson"/>
    <s v="c.thompson@email.com"/>
    <s v="Toyota Center"/>
    <x v="1"/>
    <x v="0"/>
    <s v="1.5L"/>
    <s v="Red"/>
    <n v="18000"/>
    <n v="2022"/>
    <x v="8"/>
    <x v="2"/>
  </r>
  <r>
    <x v="90"/>
    <x v="2"/>
    <x v="85"/>
    <x v="0"/>
    <x v="0"/>
    <x v="0"/>
    <n v="17800"/>
    <x v="0"/>
    <s v="Patrick Garcia"/>
    <s v="p.garcia@email.com"/>
    <s v="Nissan Direct"/>
    <x v="2"/>
    <x v="0"/>
    <s v="1.6L"/>
    <s v="Silver"/>
    <n v="16000"/>
    <n v="2022"/>
    <x v="8"/>
    <x v="2"/>
  </r>
  <r>
    <x v="91"/>
    <x v="3"/>
    <x v="86"/>
    <x v="3"/>
    <x v="0"/>
    <x v="0"/>
    <n v="23900"/>
    <x v="0"/>
    <s v="Heather Lee"/>
    <s v="h.lee2@gmail.com"/>
    <s v="Hyundai Plus"/>
    <x v="1"/>
    <x v="0"/>
    <s v="1.6L"/>
    <s v="Yellow"/>
    <n v="14000"/>
    <n v="2022"/>
    <x v="8"/>
    <x v="2"/>
  </r>
  <r>
    <x v="92"/>
    <x v="4"/>
    <x v="87"/>
    <x v="1"/>
    <x v="3"/>
    <x v="0"/>
    <n v="26800"/>
    <x v="1"/>
    <s v="Jonathan Wilson"/>
    <s v="j.wilson@email.com"/>
    <s v="Jeep Nation"/>
    <x v="2"/>
    <x v="0"/>
    <s v="1.4L"/>
    <s v="Orange"/>
    <n v="17000"/>
    <n v="2022"/>
    <x v="8"/>
    <x v="2"/>
  </r>
  <r>
    <x v="93"/>
    <x v="5"/>
    <x v="88"/>
    <x v="1"/>
    <x v="3"/>
    <x v="0"/>
    <n v="22900"/>
    <x v="0"/>
    <s v="Megan Moore"/>
    <s v="m.moore2@email.com"/>
    <s v="Ford Country"/>
    <x v="3"/>
    <x v="0"/>
    <s v="1.0L"/>
    <s v="White"/>
    <n v="19000"/>
    <n v="2021"/>
    <x v="8"/>
    <x v="2"/>
  </r>
  <r>
    <x v="94"/>
    <x v="6"/>
    <x v="89"/>
    <x v="0"/>
    <x v="0"/>
    <x v="0"/>
    <n v="16500"/>
    <x v="0"/>
    <s v="Andrew Taylor"/>
    <s v="a.taylor2@gmail.com"/>
    <s v="Chevy World"/>
    <x v="3"/>
    <x v="0"/>
    <s v="1.4L"/>
    <s v="Red"/>
    <n v="15000"/>
    <n v="2022"/>
    <x v="8"/>
    <x v="2"/>
  </r>
  <r>
    <x v="95"/>
    <x v="7"/>
    <x v="90"/>
    <x v="3"/>
    <x v="9"/>
    <x v="1"/>
    <n v="149900"/>
    <x v="5"/>
    <s v="Jennifer Anderson"/>
    <s v="j.anderson@email.com"/>
    <s v="BMW Elite"/>
    <x v="0"/>
    <x v="2"/>
    <s v="1.5L"/>
    <s v="Blue"/>
    <n v="8000"/>
    <n v="2023"/>
    <x v="8"/>
    <x v="2"/>
  </r>
  <r>
    <x v="96"/>
    <x v="0"/>
    <x v="91"/>
    <x v="1"/>
    <x v="3"/>
    <x v="0"/>
    <n v="24900"/>
    <x v="0"/>
    <s v="Joshua Thomas"/>
    <s v="j.thomas@email.com"/>
    <s v="Metro Honda"/>
    <x v="0"/>
    <x v="0"/>
    <s v="1.8L"/>
    <s v="Gray"/>
    <n v="20000"/>
    <n v="2021"/>
    <x v="9"/>
    <x v="3"/>
  </r>
  <r>
    <x v="97"/>
    <x v="1"/>
    <x v="92"/>
    <x v="1"/>
    <x v="3"/>
    <x v="0"/>
    <n v="26500"/>
    <x v="1"/>
    <s v="Amanda Jackson"/>
    <s v="a.jackson2@gmail.com"/>
    <s v="Toyota Center"/>
    <x v="1"/>
    <x v="0"/>
    <s v="2.0L"/>
    <s v="Black"/>
    <n v="18000"/>
    <n v="2022"/>
    <x v="9"/>
    <x v="3"/>
  </r>
  <r>
    <x v="98"/>
    <x v="2"/>
    <x v="93"/>
    <x v="1"/>
    <x v="3"/>
    <x v="0"/>
    <n v="21800"/>
    <x v="0"/>
    <s v="Justin White"/>
    <s v="j.white@email.com"/>
    <s v="Nissan Direct"/>
    <x v="2"/>
    <x v="0"/>
    <s v="1.6L"/>
    <s v="Orange"/>
    <n v="16000"/>
    <n v="2022"/>
    <x v="9"/>
    <x v="3"/>
  </r>
  <r>
    <x v="99"/>
    <x v="3"/>
    <x v="94"/>
    <x v="1"/>
    <x v="3"/>
    <x v="0"/>
    <n v="24500"/>
    <x v="0"/>
    <s v="Brittany Harris"/>
    <s v="b.harris@email.com"/>
    <s v="Hyundai Plus"/>
    <x v="1"/>
    <x v="0"/>
    <s v="2.0L"/>
    <s v="Blue"/>
    <n v="15000"/>
    <n v="2022"/>
    <x v="9"/>
    <x v="3"/>
  </r>
  <r>
    <x v="100"/>
    <x v="4"/>
    <x v="95"/>
    <x v="1"/>
    <x v="3"/>
    <x v="0"/>
    <n v="27900"/>
    <x v="1"/>
    <s v="Tyler Martin"/>
    <s v="t.martin@gmail.com"/>
    <s v="Jeep Nation"/>
    <x v="2"/>
    <x v="0"/>
    <s v="1.3L"/>
    <s v="Silver"/>
    <n v="13000"/>
    <n v="2023"/>
    <x v="9"/>
    <x v="3"/>
  </r>
  <r>
    <x v="101"/>
    <x v="5"/>
    <x v="96"/>
    <x v="1"/>
    <x v="3"/>
    <x v="0"/>
    <n v="23900"/>
    <x v="0"/>
    <s v="Danielle Thompson"/>
    <s v="d.thompson@email.com"/>
    <s v="Ford Country"/>
    <x v="3"/>
    <x v="0"/>
    <s v="1.0L"/>
    <s v="Green"/>
    <n v="14000"/>
    <n v="2022"/>
    <x v="9"/>
    <x v="3"/>
  </r>
  <r>
    <x v="102"/>
    <x v="6"/>
    <x v="97"/>
    <x v="1"/>
    <x v="3"/>
    <x v="0"/>
    <n v="25800"/>
    <x v="1"/>
    <s v="Kyle Garcia"/>
    <s v="k.garcia@email.com"/>
    <s v="Chevy World"/>
    <x v="3"/>
    <x v="0"/>
    <s v="1.3L"/>
    <s v="White"/>
    <n v="17000"/>
    <n v="2022"/>
    <x v="9"/>
    <x v="3"/>
  </r>
  <r>
    <x v="103"/>
    <x v="8"/>
    <x v="98"/>
    <x v="0"/>
    <x v="1"/>
    <x v="1"/>
    <n v="64900"/>
    <x v="3"/>
    <s v="Rachel Lee"/>
    <s v="r.lee2@gmail.com"/>
    <s v="Tesla Direct"/>
    <x v="1"/>
    <x v="1"/>
    <s v="N/A (EV/Hydrogen)"/>
    <s v="Silver"/>
    <n v="2500"/>
    <n v="2024"/>
    <x v="9"/>
    <x v="3"/>
  </r>
  <r>
    <x v="104"/>
    <x v="0"/>
    <x v="99"/>
    <x v="0"/>
    <x v="1"/>
    <x v="0"/>
    <n v="33500"/>
    <x v="1"/>
    <s v="Sean Wilson"/>
    <s v="s.wilson@email.com"/>
    <s v="Metro Honda"/>
    <x v="0"/>
    <x v="2"/>
    <s v="1.5L"/>
    <s v="White"/>
    <n v="11000"/>
    <n v="2023"/>
    <x v="9"/>
    <x v="3"/>
  </r>
  <r>
    <x v="105"/>
    <x v="1"/>
    <x v="100"/>
    <x v="0"/>
    <x v="1"/>
    <x v="0"/>
    <n v="58500"/>
    <x v="2"/>
    <s v="Courtney Moore"/>
    <s v="c.moore@email.com"/>
    <s v="Toyota Center"/>
    <x v="1"/>
    <x v="3"/>
    <s v="N/A (EV/Hydrogen)"/>
    <s v="Blue"/>
    <n v="5000"/>
    <n v="2024"/>
    <x v="9"/>
    <x v="3"/>
  </r>
  <r>
    <x v="106"/>
    <x v="2"/>
    <x v="101"/>
    <x v="0"/>
    <x v="1"/>
    <x v="0"/>
    <n v="31900"/>
    <x v="1"/>
    <s v="Cody Taylor"/>
    <s v="c.taylor@email.com"/>
    <s v="Nissan Direct"/>
    <x v="2"/>
    <x v="1"/>
    <s v="N/A (EV/Hydrogen)"/>
    <s v="Green"/>
    <n v="9000"/>
    <n v="2023"/>
    <x v="9"/>
    <x v="3"/>
  </r>
  <r>
    <x v="107"/>
    <x v="3"/>
    <x v="102"/>
    <x v="0"/>
    <x v="1"/>
    <x v="0"/>
    <n v="29800"/>
    <x v="1"/>
    <s v="Alexis Anderson"/>
    <s v="a.anderson2@email.com"/>
    <s v="Hyundai Plus"/>
    <x v="1"/>
    <x v="1"/>
    <s v="N/A (EV/Hydrogen)"/>
    <s v="Gray"/>
    <n v="7000"/>
    <n v="2023"/>
    <x v="9"/>
    <x v="3"/>
  </r>
  <r>
    <x v="108"/>
    <x v="4"/>
    <x v="103"/>
    <x v="1"/>
    <x v="3"/>
    <x v="0"/>
    <n v="45900"/>
    <x v="2"/>
    <s v="Devin Thomas"/>
    <s v="d.thomas2@email.com"/>
    <s v="Jeep Nation"/>
    <x v="2"/>
    <x v="2"/>
    <s v="2.0L"/>
    <s v="Black"/>
    <n v="6000"/>
    <n v="2024"/>
    <x v="9"/>
    <x v="3"/>
  </r>
  <r>
    <x v="109"/>
    <x v="5"/>
    <x v="104"/>
    <x v="2"/>
    <x v="4"/>
    <x v="0"/>
    <n v="55900"/>
    <x v="2"/>
    <s v="Kayla Jackson"/>
    <s v="k.jackson@gmail.com"/>
    <s v="Ford Country"/>
    <x v="3"/>
    <x v="1"/>
    <s v="N/A (EV/Hydrogen)"/>
    <s v="Blue"/>
    <n v="4000"/>
    <n v="2024"/>
    <x v="9"/>
    <x v="3"/>
  </r>
  <r>
    <x v="110"/>
    <x v="6"/>
    <x v="105"/>
    <x v="0"/>
    <x v="1"/>
    <x v="0"/>
    <n v="26900"/>
    <x v="1"/>
    <s v="Marcus White"/>
    <s v="m.white@email.com"/>
    <s v="Chevy World"/>
    <x v="3"/>
    <x v="1"/>
    <s v="N/A (EV/Hydrogen)"/>
    <s v="Red"/>
    <n v="8000"/>
    <n v="2023"/>
    <x v="9"/>
    <x v="3"/>
  </r>
  <r>
    <x v="111"/>
    <x v="7"/>
    <x v="106"/>
    <x v="1"/>
    <x v="3"/>
    <x v="1"/>
    <n v="83900"/>
    <x v="3"/>
    <s v="Alicia Harris"/>
    <s v="a.harris2@email.com"/>
    <s v="BMW Elite"/>
    <x v="0"/>
    <x v="1"/>
    <s v="N/A (EV/Hydrogen)"/>
    <s v="White"/>
    <n v="5000"/>
    <n v="2024"/>
    <x v="10"/>
    <x v="3"/>
  </r>
  <r>
    <x v="112"/>
    <x v="0"/>
    <x v="107"/>
    <x v="1"/>
    <x v="3"/>
    <x v="0"/>
    <n v="47900"/>
    <x v="2"/>
    <s v="Trevor Martin"/>
    <s v="t.martin2@gmail.com"/>
    <s v="Metro Honda"/>
    <x v="0"/>
    <x v="1"/>
    <s v="N/A (EV/Hydrogen)"/>
    <s v="Silver"/>
    <n v="3000"/>
    <n v="2024"/>
    <x v="10"/>
    <x v="3"/>
  </r>
  <r>
    <x v="113"/>
    <x v="1"/>
    <x v="108"/>
    <x v="1"/>
    <x v="3"/>
    <x v="0"/>
    <n v="42500"/>
    <x v="2"/>
    <s v="Jenna Thompson"/>
    <s v="j.thompson3@email.com"/>
    <s v="Toyota Center"/>
    <x v="1"/>
    <x v="1"/>
    <s v="N/A (EV/Hydrogen)"/>
    <s v="Blue"/>
    <n v="4500"/>
    <n v="2024"/>
    <x v="10"/>
    <x v="3"/>
  </r>
  <r>
    <x v="114"/>
    <x v="2"/>
    <x v="109"/>
    <x v="1"/>
    <x v="3"/>
    <x v="0"/>
    <n v="43900"/>
    <x v="2"/>
    <s v="Cameron Garcia"/>
    <s v="c.garcia2@email.com"/>
    <s v="Nissan Direct"/>
    <x v="2"/>
    <x v="1"/>
    <s v="N/A (EV/Hydrogen)"/>
    <s v="Black"/>
    <n v="3500"/>
    <n v="2024"/>
    <x v="10"/>
    <x v="3"/>
  </r>
  <r>
    <x v="115"/>
    <x v="3"/>
    <x v="110"/>
    <x v="1"/>
    <x v="3"/>
    <x v="0"/>
    <n v="44500"/>
    <x v="2"/>
    <s v="Morgan Lee"/>
    <s v="m.lee@gmail.com"/>
    <s v="Hyundai Plus"/>
    <x v="1"/>
    <x v="1"/>
    <s v="N/A (EV/Hydrogen)"/>
    <s v="White"/>
    <n v="5500"/>
    <n v="2023"/>
    <x v="10"/>
    <x v="3"/>
  </r>
  <r>
    <x v="116"/>
    <x v="4"/>
    <x v="111"/>
    <x v="1"/>
    <x v="3"/>
    <x v="0"/>
    <n v="47800"/>
    <x v="2"/>
    <s v="Blake Wilson"/>
    <s v="b.wilson@email.com"/>
    <s v="Jeep Nation"/>
    <x v="2"/>
    <x v="0"/>
    <s v="3.6L"/>
    <s v="Gray"/>
    <n v="12000"/>
    <n v="2023"/>
    <x v="10"/>
    <x v="3"/>
  </r>
  <r>
    <x v="117"/>
    <x v="5"/>
    <x v="112"/>
    <x v="2"/>
    <x v="4"/>
    <x v="0"/>
    <n v="24900"/>
    <x v="0"/>
    <s v="Sydney Moore"/>
    <s v="s.moore@email.com"/>
    <s v="Ford Country"/>
    <x v="3"/>
    <x v="0"/>
    <s v="2.0L"/>
    <s v="Orange"/>
    <n v="11000"/>
    <n v="2023"/>
    <x v="10"/>
    <x v="3"/>
  </r>
  <r>
    <x v="118"/>
    <x v="6"/>
    <x v="113"/>
    <x v="3"/>
    <x v="5"/>
    <x v="0"/>
    <n v="65900"/>
    <x v="3"/>
    <s v="Garrett Taylor"/>
    <s v="g.taylor2@gmail.com"/>
    <s v="Chevy World"/>
    <x v="3"/>
    <x v="0"/>
    <s v="6.2L"/>
    <s v="Red"/>
    <n v="7000"/>
    <n v="2023"/>
    <x v="10"/>
    <x v="3"/>
  </r>
  <r>
    <x v="119"/>
    <x v="8"/>
    <x v="114"/>
    <x v="0"/>
    <x v="1"/>
    <x v="1"/>
    <n v="129900"/>
    <x v="4"/>
    <s v="Paige Anderson"/>
    <s v="p.anderson@email.com"/>
    <s v="Tesla Direct"/>
    <x v="1"/>
    <x v="1"/>
    <s v="N/A (EV/Hydrogen)"/>
    <s v="Black"/>
    <n v="1500"/>
    <n v="2024"/>
    <x v="10"/>
    <x v="3"/>
  </r>
  <r>
    <x v="120"/>
    <x v="0"/>
    <x v="115"/>
    <x v="3"/>
    <x v="5"/>
    <x v="0"/>
    <n v="32900"/>
    <x v="1"/>
    <s v="Jared Thomas"/>
    <s v="j.thomas2@email.com"/>
    <s v="Metro Honda"/>
    <x v="0"/>
    <x v="0"/>
    <s v="2.0L"/>
    <s v="Blue"/>
    <n v="8000"/>
    <n v="2023"/>
    <x v="10"/>
    <x v="3"/>
  </r>
  <r>
    <x v="121"/>
    <x v="1"/>
    <x v="116"/>
    <x v="3"/>
    <x v="5"/>
    <x v="0"/>
    <n v="31500"/>
    <x v="1"/>
    <s v="Sierra Jackson"/>
    <s v="s.jackson2@gmail.com"/>
    <s v="Toyota Center"/>
    <x v="1"/>
    <x v="0"/>
    <s v="2.4L"/>
    <s v="Yellow"/>
    <n v="6000"/>
    <n v="2023"/>
    <x v="10"/>
    <x v="3"/>
  </r>
  <r>
    <x v="122"/>
    <x v="2"/>
    <x v="117"/>
    <x v="3"/>
    <x v="5"/>
    <x v="0"/>
    <n v="41900"/>
    <x v="2"/>
    <s v="Parker White"/>
    <s v="p.white@email.com"/>
    <s v="Nissan Direct"/>
    <x v="2"/>
    <x v="0"/>
    <s v="3.0L"/>
    <s v="Silver"/>
    <n v="4000"/>
    <n v="2024"/>
    <x v="10"/>
    <x v="3"/>
  </r>
  <r>
    <x v="123"/>
    <x v="3"/>
    <x v="118"/>
    <x v="0"/>
    <x v="1"/>
    <x v="0"/>
    <n v="34500"/>
    <x v="1"/>
    <s v="Savannah Harris"/>
    <s v="s.harris3@email.com"/>
    <s v="Hyundai Plus"/>
    <x v="1"/>
    <x v="0"/>
    <s v="2.0L"/>
    <s v="Red"/>
    <n v="5000"/>
    <n v="2024"/>
    <x v="10"/>
    <x v="3"/>
  </r>
  <r>
    <x v="124"/>
    <x v="4"/>
    <x v="119"/>
    <x v="1"/>
    <x v="3"/>
    <x v="0"/>
    <n v="61900"/>
    <x v="3"/>
    <s v="Hunter Martin"/>
    <s v="h.martin@gmail.com"/>
    <s v="Jeep Nation"/>
    <x v="2"/>
    <x v="0"/>
    <s v="5.7L"/>
    <s v="Black"/>
    <n v="8000"/>
    <n v="2023"/>
    <x v="10"/>
    <x v="3"/>
  </r>
  <r>
    <x v="125"/>
    <x v="5"/>
    <x v="120"/>
    <x v="1"/>
    <x v="3"/>
    <x v="0"/>
    <n v="29800"/>
    <x v="1"/>
    <s v="Destiny Thompson"/>
    <s v="d.thompson2@email.com"/>
    <s v="Ford Country"/>
    <x v="3"/>
    <x v="0"/>
    <s v="1.5L"/>
    <s v="Green"/>
    <n v="9000"/>
    <n v="2023"/>
    <x v="10"/>
    <x v="3"/>
  </r>
  <r>
    <x v="126"/>
    <x v="6"/>
    <x v="121"/>
    <x v="3"/>
    <x v="5"/>
    <x v="0"/>
    <n v="106900"/>
    <x v="4"/>
    <s v="Colton Garcia"/>
    <s v="c.garcia3@email.com"/>
    <s v="Chevy World"/>
    <x v="3"/>
    <x v="0"/>
    <s v="5.5L"/>
    <s v="Orange"/>
    <n v="2000"/>
    <n v="2024"/>
    <x v="11"/>
    <x v="3"/>
  </r>
  <r>
    <x v="127"/>
    <x v="7"/>
    <x v="122"/>
    <x v="0"/>
    <x v="1"/>
    <x v="1"/>
    <n v="69900"/>
    <x v="3"/>
    <s v="Autumn Lee"/>
    <s v="a.lee@gmail.com"/>
    <s v="BMW Elite"/>
    <x v="0"/>
    <x v="0"/>
    <s v="3.0L"/>
    <s v="White"/>
    <n v="6000"/>
    <n v="2023"/>
    <x v="11"/>
    <x v="3"/>
  </r>
  <r>
    <x v="128"/>
    <x v="0"/>
    <x v="123"/>
    <x v="0"/>
    <x v="1"/>
    <x v="0"/>
    <n v="42900"/>
    <x v="2"/>
    <s v="Dalton Wilson"/>
    <s v="d.wilson2@email.com"/>
    <s v="Metro Honda"/>
    <x v="0"/>
    <x v="0"/>
    <s v="2.0L"/>
    <s v="Red"/>
    <n v="4000"/>
    <n v="2024"/>
    <x v="11"/>
    <x v="3"/>
  </r>
  <r>
    <x v="129"/>
    <x v="1"/>
    <x v="124"/>
    <x v="3"/>
    <x v="10"/>
    <x v="0"/>
    <n v="51900"/>
    <x v="2"/>
    <s v="Brooke Moore"/>
    <s v="b.moore@email.com"/>
    <s v="Toyota Center"/>
    <x v="1"/>
    <x v="0"/>
    <s v="3.0L"/>
    <s v="Blue"/>
    <n v="3000"/>
    <n v="2024"/>
    <x v="11"/>
    <x v="3"/>
  </r>
  <r>
    <x v="130"/>
    <x v="2"/>
    <x v="125"/>
    <x v="3"/>
    <x v="10"/>
    <x v="0"/>
    <n v="115900"/>
    <x v="4"/>
    <s v="Easton Taylor"/>
    <s v="e.taylor@gmail.com"/>
    <s v="Nissan Direct"/>
    <x v="2"/>
    <x v="0"/>
    <s v="3.8L"/>
    <s v="Black"/>
    <n v="2500"/>
    <n v="2024"/>
    <x v="11"/>
    <x v="3"/>
  </r>
  <r>
    <x v="131"/>
    <x v="3"/>
    <x v="126"/>
    <x v="0"/>
    <x v="1"/>
    <x v="0"/>
    <n v="74900"/>
    <x v="3"/>
    <s v="Peyton Anderson"/>
    <s v="p.anderson2@email.com"/>
    <s v="Hyundai Plus"/>
    <x v="1"/>
    <x v="0"/>
    <s v="3.3L"/>
    <s v="Silver"/>
    <n v="3500"/>
    <n v="2024"/>
    <x v="11"/>
    <x v="3"/>
  </r>
  <r>
    <x v="132"/>
    <x v="4"/>
    <x v="127"/>
    <x v="1"/>
    <x v="3"/>
    <x v="0"/>
    <n v="89900"/>
    <x v="3"/>
    <s v="Bryce Thomas"/>
    <s v="b.thomas2@email.com"/>
    <s v="Jeep Nation"/>
    <x v="2"/>
    <x v="0"/>
    <s v="6.4L"/>
    <s v="Gray"/>
    <n v="5000"/>
    <n v="2024"/>
    <x v="11"/>
    <x v="3"/>
  </r>
  <r>
    <x v="133"/>
    <x v="5"/>
    <x v="128"/>
    <x v="3"/>
    <x v="10"/>
    <x v="0"/>
    <n v="79900"/>
    <x v="3"/>
    <s v="Madison Jackson"/>
    <s v="m.jackson2@gmail.com"/>
    <s v="Ford Country"/>
    <x v="3"/>
    <x v="0"/>
    <s v="5.2L"/>
    <s v="Red"/>
    <n v="1000"/>
    <n v="2024"/>
    <x v="11"/>
    <x v="3"/>
  </r>
  <r>
    <x v="134"/>
    <x v="6"/>
    <x v="129"/>
    <x v="3"/>
    <x v="10"/>
    <x v="0"/>
    <n v="62900"/>
    <x v="3"/>
    <s v="Hayden White"/>
    <s v="h.white@email.com"/>
    <s v="Chevy World"/>
    <x v="3"/>
    <x v="0"/>
    <s v="6.2L"/>
    <s v="Yellow"/>
    <n v="1500"/>
    <n v="2024"/>
    <x v="11"/>
    <x v="3"/>
  </r>
  <r>
    <x v="135"/>
    <x v="8"/>
    <x v="130"/>
    <x v="3"/>
    <x v="7"/>
    <x v="1"/>
    <n v="199900"/>
    <x v="5"/>
    <s v="Riley Harris"/>
    <s v="r.harris@email.com"/>
    <s v="Tesla Direct"/>
    <x v="1"/>
    <x v="1"/>
    <s v="N/A (EV/Hydrogen)"/>
    <s v="Red"/>
    <n v="500"/>
    <n v="2024"/>
    <x v="1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A90F2-994E-43CD-9AD7-33DEE433F34E}" name="PivotTable1" cacheId="8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10" firstHeaderRow="0" firstDataRow="1" firstDataCol="1"/>
  <pivotFields count="19">
    <pivotField dataField="1" compact="0" outline="0" showAll="0"/>
    <pivotField compact="0" outline="0" showAll="0"/>
    <pivotField compact="0" outline="0" showAll="0"/>
    <pivotField name="Vehicle Category" axis="axisRow" compact="0" outline="0" showAll="0" sortType="descending">
      <items count="6">
        <item x="3"/>
        <item x="0"/>
        <item x="1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165" outline="0" showAll="0"/>
    <pivotField compact="0" outline="0" showAll="0"/>
  </pivotFields>
  <rowFields count="1">
    <field x="3"/>
  </rowFields>
  <rowItems count="6">
    <i>
      <x v="2"/>
    </i>
    <i>
      <x v="1"/>
    </i>
    <i>
      <x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nits Sold" fld="0" subtotal="count" baseField="0" baseItem="0"/>
    <dataField name="Total Revenue" fld="6" baseField="0" baseItem="0" numFmtId="164"/>
    <dataField name="% Total Revenue" fld="6" showDataAs="percentOfCol" baseField="0" baseItem="0" numFmtId="10"/>
    <dataField name="Avg Sale Price" fld="6" subtotal="average" baseField="0" baseItem="0" numFmtId="164"/>
  </dataFields>
  <formats count="1">
    <format dxfId="13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A15CB-53AF-4360-BD6A-82A92D879AA5}" name="PivotTable3" cacheId="8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0:E25" firstHeaderRow="0" firstDataRow="1" firstDataCol="1"/>
  <pivotFields count="1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165" outline="0" showAll="0"/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nits Sold" fld="0" subtotal="count" baseField="0" baseItem="0"/>
    <dataField name="Total Revenue" fld="6" baseField="0" baseItem="0" numFmtId="164"/>
    <dataField name="% Total Revenue" fld="6" showDataAs="percentOfCol" baseField="0" baseItem="0" numFmtId="10"/>
    <dataField name="Avg Sale Price" fld="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3D853-BBA9-443B-A472-8A9096A419C6}" name="PivotTable2" cacheId="8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17" firstHeaderRow="0" firstDataRow="1" firstDataCol="1"/>
  <pivotFields count="1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name="Month" axis="axisRow" compact="0" numFmtId="165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</pivotFields>
  <rowFields count="1">
    <field x="1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nits Sold" fld="0" subtotal="count" baseField="0" baseItem="0"/>
    <dataField name="Total Revenue" fld="6" baseField="0" baseItem="0" numFmtId="164"/>
    <dataField name="% Total Revenue" fld="6" showDataAs="percentOfCol" baseField="0" baseItem="0" numFmtId="10"/>
    <dataField name="Avg Sale Price" fld="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9C0EE-55FB-40DE-89D5-B313184D23DF}" name="PivotTable26" cacheId="8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46" firstHeaderRow="0" firstDataRow="1" firstDataCol="2"/>
  <pivotFields count="19">
    <pivotField dataField="1" compact="0" outline="0" showAll="0"/>
    <pivotField compact="0" outline="0" showAll="0"/>
    <pivotField compact="0" outline="0" showAll="0"/>
    <pivotField name="Vehicle Category" axis="axisRow" compact="0" outline="0" showAll="0">
      <items count="6">
        <item x="3"/>
        <item x="0"/>
        <item x="1"/>
        <item x="2"/>
        <item x="4"/>
        <item t="default"/>
      </items>
    </pivotField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name="Month" axis="axisRow" compact="0" numFmtId="165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</pivotFields>
  <rowFields count="2">
    <field x="3"/>
    <field x="17"/>
  </rowFields>
  <rowItems count="42">
    <i>
      <x/>
      <x v="5"/>
    </i>
    <i r="1">
      <x v="6"/>
    </i>
    <i r="1">
      <x v="8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 v="1"/>
    </i>
    <i r="1">
      <x v="2"/>
    </i>
    <i r="1">
      <x v="5"/>
    </i>
    <i r="1">
      <x v="6"/>
    </i>
    <i r="1">
      <x v="7"/>
    </i>
    <i r="1">
      <x v="9"/>
    </i>
    <i r="1">
      <x v="10"/>
    </i>
    <i t="default">
      <x v="3"/>
    </i>
    <i>
      <x v="4"/>
      <x v="7"/>
    </i>
    <i t="default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nits Sold" fld="0" subtotal="count" baseField="0" baseItem="0"/>
    <dataField name="Total Revenue" fld="6" baseField="0" baseItem="0" numFmtId="164"/>
    <dataField name="% Total Revenue" fld="6" showDataAs="percentOfCol" baseField="0" baseItem="0" numFmtId="10"/>
    <dataField name="Avg Sale Price" fld="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8740F-D248-4B11-97A3-FC63030F350A}" name="PivotTable29" cacheId="8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4:M26" firstHeaderRow="0" firstDataRow="1" firstDataCol="2"/>
  <pivotFields count="19">
    <pivotField dataField="1" compact="0" outline="0" showAll="0"/>
    <pivotField compact="0" outline="0" showAll="0"/>
    <pivotField compact="0" outline="0" showAll="0"/>
    <pivotField name="Vehicle Category" axis="axisRow" compact="0" outline="0" showAll="0">
      <items count="6">
        <item x="3"/>
        <item x="0"/>
        <item x="1"/>
        <item x="2"/>
        <item x="4"/>
        <item t="default"/>
      </items>
    </pivotField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165" outline="0" showAll="0"/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2">
    <field x="3"/>
    <field x="18"/>
  </rowFields>
  <rowItems count="22">
    <i>
      <x/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 v="2"/>
    </i>
    <i t="default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nits Sold" fld="0" subtotal="count" baseField="0" baseItem="0"/>
    <dataField name="Total Revenue" fld="6" baseField="0" baseItem="0" numFmtId="164"/>
    <dataField name="% Total Revenue" fld="6" showDataAs="percentOfCol" baseField="0" baseItem="0" numFmtId="10"/>
    <dataField name="Avg Sale Price" fld="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849E9E-4A31-488A-B029-CAAD5E6987BB}" name="PivotTable28" cacheId="8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65" firstHeaderRow="0" firstDataRow="1" firstDataCol="2"/>
  <pivotFields count="19">
    <pivotField dataField="1" compact="0" outline="0" showAll="0"/>
    <pivotField compact="0" outline="0" showAll="0"/>
    <pivotField compact="0" outline="0" showAll="0"/>
    <pivotField compact="0" outline="0" showAll="0">
      <items count="6">
        <item x="3"/>
        <item x="0"/>
        <item x="1"/>
        <item x="2"/>
        <item x="4"/>
        <item t="default"/>
      </items>
    </pivotField>
    <pivotField name="Vehicle Sub-Category" axis="axisRow" compact="0" outline="0" showAll="0">
      <items count="12">
        <item x="3"/>
        <item x="7"/>
        <item x="1"/>
        <item x="9"/>
        <item x="6"/>
        <item x="2"/>
        <item x="10"/>
        <item x="4"/>
        <item x="5"/>
        <item x="0"/>
        <item x="8"/>
        <item t="default"/>
      </items>
    </pivotField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name="Month" axis="axisRow" compact="0" numFmtId="165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</pivotFields>
  <rowFields count="2">
    <field x="4"/>
    <field x="17"/>
  </rowFields>
  <rowItems count="61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 v="6"/>
    </i>
    <i r="1">
      <x v="11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 v="8"/>
    </i>
    <i t="default">
      <x v="3"/>
    </i>
    <i>
      <x v="4"/>
      <x v="5"/>
    </i>
    <i r="1">
      <x v="6"/>
    </i>
    <i t="default">
      <x v="4"/>
    </i>
    <i>
      <x v="5"/>
      <x v="1"/>
    </i>
    <i r="1">
      <x v="2"/>
    </i>
    <i r="1">
      <x v="3"/>
    </i>
    <i r="1">
      <x v="4"/>
    </i>
    <i t="default">
      <x v="5"/>
    </i>
    <i>
      <x v="6"/>
      <x v="11"/>
    </i>
    <i t="default">
      <x v="6"/>
    </i>
    <i>
      <x v="7"/>
      <x v="1"/>
    </i>
    <i r="1">
      <x v="2"/>
    </i>
    <i r="1">
      <x v="5"/>
    </i>
    <i r="1">
      <x v="6"/>
    </i>
    <i r="1">
      <x v="7"/>
    </i>
    <i r="1">
      <x v="9"/>
    </i>
    <i r="1">
      <x v="10"/>
    </i>
    <i t="default">
      <x v="7"/>
    </i>
    <i>
      <x v="8"/>
      <x v="5"/>
    </i>
    <i r="1">
      <x v="10"/>
    </i>
    <i r="1">
      <x v="11"/>
    </i>
    <i t="default">
      <x v="8"/>
    </i>
    <i>
      <x v="9"/>
      <x/>
    </i>
    <i r="1">
      <x v="1"/>
    </i>
    <i r="1">
      <x v="2"/>
    </i>
    <i r="1">
      <x v="3"/>
    </i>
    <i r="1">
      <x v="6"/>
    </i>
    <i r="1">
      <x v="8"/>
    </i>
    <i t="default">
      <x v="9"/>
    </i>
    <i>
      <x v="10"/>
      <x v="7"/>
    </i>
    <i t="default"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nits Sold" fld="0" subtotal="count" baseField="0" baseItem="0"/>
    <dataField name="Total Revenue" fld="6" baseField="0" baseItem="0" numFmtId="164"/>
    <dataField name="% Total Revenue" fld="6" showDataAs="percentOfCol" baseField="0" baseItem="0" numFmtId="10"/>
    <dataField name="Avg Sale Price" fld="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A8DED8-AA45-486B-9E00-78AF5A07D00B}" name="PivotTable30" cacheId="8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4:M42" firstHeaderRow="0" firstDataRow="1" firstDataCol="2"/>
  <pivotFields count="19">
    <pivotField dataField="1" compact="0" outline="0" showAll="0"/>
    <pivotField compact="0" outline="0" showAll="0"/>
    <pivotField compact="0" outline="0" showAll="0"/>
    <pivotField compact="0" outline="0" showAll="0"/>
    <pivotField name="Vehicle Sub-Category" axis="axisRow" compact="0" outline="0" showAll="0">
      <items count="12">
        <item x="3"/>
        <item x="7"/>
        <item x="1"/>
        <item x="9"/>
        <item x="6"/>
        <item x="2"/>
        <item x="10"/>
        <item x="4"/>
        <item x="5"/>
        <item x="0"/>
        <item x="8"/>
        <item t="default"/>
      </items>
    </pivotField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165" outline="0" showAll="0"/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2">
    <field x="4"/>
    <field x="18"/>
  </rowFields>
  <rowItems count="38">
    <i>
      <x/>
      <x/>
    </i>
    <i r="1">
      <x v="1"/>
    </i>
    <i r="1">
      <x v="2"/>
    </i>
    <i r="1">
      <x v="3"/>
    </i>
    <i t="default">
      <x/>
    </i>
    <i>
      <x v="1"/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 v="2"/>
    </i>
    <i t="default">
      <x v="3"/>
    </i>
    <i>
      <x v="4"/>
      <x v="1"/>
    </i>
    <i r="1">
      <x v="2"/>
    </i>
    <i t="default">
      <x v="4"/>
    </i>
    <i>
      <x v="5"/>
      <x/>
    </i>
    <i r="1">
      <x v="1"/>
    </i>
    <i t="default">
      <x v="5"/>
    </i>
    <i>
      <x v="6"/>
      <x v="3"/>
    </i>
    <i t="default">
      <x v="6"/>
    </i>
    <i>
      <x v="7"/>
      <x/>
    </i>
    <i r="1">
      <x v="1"/>
    </i>
    <i r="1">
      <x v="2"/>
    </i>
    <i r="1">
      <x v="3"/>
    </i>
    <i t="default">
      <x v="7"/>
    </i>
    <i>
      <x v="8"/>
      <x v="1"/>
    </i>
    <i r="1">
      <x v="3"/>
    </i>
    <i t="default">
      <x v="8"/>
    </i>
    <i>
      <x v="9"/>
      <x/>
    </i>
    <i r="1">
      <x v="1"/>
    </i>
    <i r="1">
      <x v="2"/>
    </i>
    <i t="default">
      <x v="9"/>
    </i>
    <i>
      <x v="10"/>
      <x v="2"/>
    </i>
    <i t="default"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nits Sold" fld="0" subtotal="count" baseField="0" baseItem="0"/>
    <dataField name="Total Revenue" fld="6" baseField="0" baseItem="0" numFmtId="164"/>
    <dataField name="% Total Revenue" fld="6" showDataAs="percentOfCol" baseField="0" baseItem="0" numFmtId="10"/>
    <dataField name="Avg Sale Price" fld="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2ED1F-26B6-4544-A00C-80CB0F4B0E22}" name="PivotTable4" cacheId="8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9" firstHeaderRow="0" firstDataRow="1" firstDataCol="1"/>
  <pivotFields count="1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name="Dealer Region" axis="axisRow" compact="0" outline="0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165" outline="0" showAll="0"/>
    <pivotField compact="0" outline="0" showAll="0"/>
  </pivotFields>
  <rowFields count="1">
    <field x="11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nits Sold" fld="0" subtotal="count" baseField="0" baseItem="0"/>
    <dataField name="Total Revenue" fld="6" baseField="0" baseItem="0" numFmtId="164"/>
    <dataField name="% Total Revenue" fld="6" showDataAs="percentOfCol" baseField="0" baseItem="0" numFmtId="10"/>
    <dataField name="Avg Sale Price" fld="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14C83-56FC-4E5B-B55F-A677FB7C30CC}" name="PivotTable47" cacheId="8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3:E19" firstHeaderRow="1" firstDataRow="3" firstDataCol="1"/>
  <pivotFields count="19">
    <pivotField dataField="1" compact="0" outline="0" showAll="0"/>
    <pivotField compact="0" outline="0" showAll="0">
      <items count="10">
        <item x="7"/>
        <item x="6"/>
        <item x="5"/>
        <item x="0"/>
        <item x="3"/>
        <item x="4"/>
        <item x="2"/>
        <item x="8"/>
        <item x="1"/>
        <item t="default"/>
      </items>
    </pivotField>
    <pivotField compact="0" outline="0" showAll="0"/>
    <pivotField compact="0" outline="0" showAll="0">
      <items count="6">
        <item x="3"/>
        <item x="0"/>
        <item x="1"/>
        <item x="2"/>
        <item x="4"/>
        <item t="default"/>
      </items>
    </pivotField>
    <pivotField compact="0" outline="0" showAll="0"/>
    <pivotField name="Market Segment" axis="axisCol" compact="0" outline="0" showAll="0" defaultSubtotal="0">
      <items count="2">
        <item h="1" x="1"/>
        <item x="0"/>
      </items>
    </pivotField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name="Dealer Region" axis="axisRow" compact="0" outline="0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165" outline="0" showAll="0"/>
    <pivotField compact="0" outline="0" showAll="0"/>
  </pivotFields>
  <rowFields count="1">
    <field x="11"/>
  </rowFields>
  <rowItems count="4">
    <i>
      <x/>
    </i>
    <i>
      <x v="2"/>
    </i>
    <i>
      <x v="3"/>
    </i>
    <i>
      <x v="1"/>
    </i>
  </rowItems>
  <colFields count="2">
    <field x="5"/>
    <field x="-2"/>
  </colFields>
  <colItems count="4">
    <i>
      <x v="1"/>
      <x/>
    </i>
    <i r="1" i="1">
      <x v="1"/>
    </i>
    <i r="1" i="2">
      <x v="2"/>
    </i>
    <i r="1" i="3">
      <x v="3"/>
    </i>
  </colItems>
  <dataFields count="4">
    <dataField name="Units Sold" fld="0" subtotal="count" baseField="0" baseItem="0"/>
    <dataField name="Total Revenue" fld="6" baseField="0" baseItem="0" numFmtId="164"/>
    <dataField name="% Total Revenue" fld="6" showDataAs="percentOfCol" baseField="0" baseItem="0" numFmtId="10"/>
    <dataField name="Avg Sale Price" fld="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87587-4F77-419C-A824-0AAE9509AC4A}" name="PivotTable45" cacheId="8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G4:K8" firstHeaderRow="1" firstDataRow="3" firstDataCol="1"/>
  <pivotFields count="19">
    <pivotField dataField="1" compact="0" outline="0" showAll="0"/>
    <pivotField compact="0" outline="0" showAll="0">
      <items count="10">
        <item x="7"/>
        <item x="6"/>
        <item x="5"/>
        <item x="0"/>
        <item x="3"/>
        <item x="4"/>
        <item x="2"/>
        <item x="8"/>
        <item x="1"/>
        <item t="default"/>
      </items>
    </pivotField>
    <pivotField compact="0" outline="0" showAll="0"/>
    <pivotField compact="0" outline="0" showAll="0">
      <items count="6">
        <item x="3"/>
        <item x="0"/>
        <item x="1"/>
        <item x="2"/>
        <item x="4"/>
        <item t="default"/>
      </items>
    </pivotField>
    <pivotField compact="0" outline="0" showAll="0"/>
    <pivotField name="Market Segment" axis="axisCol" compact="0" outline="0" showAll="0" defaultSubtotal="0">
      <items count="2">
        <item x="1"/>
        <item h="1" x="0"/>
      </items>
    </pivotField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name="Dealer Region" axis="axisRow" compact="0" outline="0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165" outline="0" showAll="0"/>
    <pivotField compact="0" outline="0" showAll="0"/>
  </pivotFields>
  <rowFields count="1">
    <field x="11"/>
  </rowFields>
  <rowItems count="2">
    <i>
      <x v="3"/>
    </i>
    <i>
      <x v="1"/>
    </i>
  </rowItems>
  <colFields count="2">
    <field x="5"/>
    <field x="-2"/>
  </colFields>
  <colItems count="4">
    <i>
      <x/>
      <x/>
    </i>
    <i r="1" i="1">
      <x v="1"/>
    </i>
    <i r="1" i="2">
      <x v="2"/>
    </i>
    <i r="1" i="3">
      <x v="3"/>
    </i>
  </colItems>
  <dataFields count="4">
    <dataField name="Units Sold" fld="0" subtotal="count" baseField="0" baseItem="0"/>
    <dataField name="Total Revenue" fld="6" baseField="0" baseItem="0" numFmtId="164"/>
    <dataField name="% Total Revenue" fld="6" showDataAs="percentOfCol" baseField="0" baseItem="0" numFmtId="10"/>
    <dataField name="Avg Sale Price" fld="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3FEB1-E7B6-495B-9B87-7664FA85F03D}" name="PivotTable44" cacheId="8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G13:K16" firstHeaderRow="1" firstDataRow="3" firstDataCol="1" rowPageCount="1" colPageCount="1"/>
  <pivotFields count="19">
    <pivotField dataField="1" compact="0" outline="0" showAll="0"/>
    <pivotField axis="axisPage" compact="0" outline="0" showAll="0">
      <items count="10">
        <item x="7"/>
        <item h="1" x="6"/>
        <item h="1" x="5"/>
        <item h="1" x="0"/>
        <item h="1" x="3"/>
        <item h="1" x="4"/>
        <item h="1" x="2"/>
        <item h="1" x="8"/>
        <item h="1" x="1"/>
        <item t="default"/>
      </items>
    </pivotField>
    <pivotField compact="0" outline="0" showAll="0"/>
    <pivotField compact="0" outline="0" showAll="0">
      <items count="6">
        <item x="3"/>
        <item x="0"/>
        <item x="1"/>
        <item x="2"/>
        <item x="4"/>
        <item t="default"/>
      </items>
    </pivotField>
    <pivotField compact="0" outline="0" showAll="0"/>
    <pivotField name="Market Segment" axis="axisCol" compact="0" outline="0" showAll="0" defaultSubtotal="0">
      <items count="2">
        <item x="1"/>
        <item h="1" x="0"/>
      </items>
    </pivotField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name="Dealer Region" axis="axisRow" compact="0" outline="0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165" outline="0" showAll="0"/>
    <pivotField compact="0" outline="0" showAll="0"/>
  </pivotFields>
  <rowFields count="1">
    <field x="11"/>
  </rowFields>
  <rowItems count="1">
    <i>
      <x v="1"/>
    </i>
  </rowItems>
  <colFields count="2">
    <field x="5"/>
    <field x="-2"/>
  </colFields>
  <colItems count="4">
    <i>
      <x/>
      <x/>
    </i>
    <i r="1" i="1">
      <x v="1"/>
    </i>
    <i r="1" i="2">
      <x v="2"/>
    </i>
    <i r="1" i="3">
      <x v="3"/>
    </i>
  </colItems>
  <pageFields count="1">
    <pageField fld="1" item="0" hier="-1"/>
  </pageFields>
  <dataFields count="4">
    <dataField name="Units Sold" fld="0" subtotal="count" baseField="0" baseItem="0"/>
    <dataField name="Total Revenue" fld="6" baseField="0" baseItem="0" numFmtId="164"/>
    <dataField name="% Total Revenue" fld="6" showDataAs="percentOfCol" baseField="0" baseItem="0" numFmtId="10"/>
    <dataField name="Avg Sale Price" fld="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FD3CE-CB96-4397-A3CA-FA9D099E0ED9}" name="PivotTable43" cacheId="8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G20:K23" firstHeaderRow="1" firstDataRow="3" firstDataCol="1" rowPageCount="1" colPageCount="1"/>
  <pivotFields count="19">
    <pivotField dataField="1" compact="0" outline="0" showAll="0"/>
    <pivotField axis="axisPage" compact="0" outline="0" showAll="0">
      <items count="10">
        <item h="1" x="7"/>
        <item h="1" x="6"/>
        <item h="1" x="5"/>
        <item h="1" x="0"/>
        <item h="1" x="3"/>
        <item h="1" x="4"/>
        <item h="1" x="2"/>
        <item x="8"/>
        <item h="1" x="1"/>
        <item t="default"/>
      </items>
    </pivotField>
    <pivotField compact="0" outline="0" showAll="0"/>
    <pivotField compact="0" outline="0" showAll="0">
      <items count="6">
        <item x="3"/>
        <item x="0"/>
        <item x="1"/>
        <item x="2"/>
        <item x="4"/>
        <item t="default"/>
      </items>
    </pivotField>
    <pivotField compact="0" outline="0" showAll="0"/>
    <pivotField name="Market Segment" axis="axisCol" compact="0" outline="0" showAll="0" defaultSubtotal="0">
      <items count="2">
        <item x="1"/>
        <item h="1" x="0"/>
      </items>
    </pivotField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name="Dealer Region" axis="axisRow" compact="0" outline="0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165" outline="0" showAll="0"/>
    <pivotField compact="0" outline="0" showAll="0"/>
  </pivotFields>
  <rowFields count="1">
    <field x="11"/>
  </rowFields>
  <rowItems count="1">
    <i>
      <x v="3"/>
    </i>
  </rowItems>
  <colFields count="2">
    <field x="5"/>
    <field x="-2"/>
  </colFields>
  <colItems count="4">
    <i>
      <x/>
      <x/>
    </i>
    <i r="1" i="1">
      <x v="1"/>
    </i>
    <i r="1" i="2">
      <x v="2"/>
    </i>
    <i r="1" i="3">
      <x v="3"/>
    </i>
  </colItems>
  <pageFields count="1">
    <pageField fld="1" item="7" hier="-1"/>
  </pageFields>
  <dataFields count="4">
    <dataField name="Units Sold" fld="0" subtotal="count" baseField="0" baseItem="0"/>
    <dataField name="Total Revenue" fld="6" baseField="0" baseItem="0" numFmtId="164"/>
    <dataField name="% Total Revenue" fld="6" showDataAs="percentOfCol" baseField="0" baseItem="0" numFmtId="10"/>
    <dataField name="Avg Sale Price" fld="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52CD3-8014-4C5F-B645-C1109858173E}" name="PivotTable7" cacheId="84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2:B42" firstHeaderRow="1" firstDataRow="1" firstDataCol="1"/>
  <pivotFields count="19">
    <pivotField compact="0" outline="0" showAll="0"/>
    <pivotField compact="0" outline="0" showAll="0"/>
    <pivotField axis="axisRow" compact="0" outline="0" showAll="0" measureFilter="1" sortType="ascending">
      <items count="132">
        <item x="21"/>
        <item x="39"/>
        <item x="103"/>
        <item x="51"/>
        <item x="59"/>
        <item x="49"/>
        <item x="10"/>
        <item x="2"/>
        <item x="109"/>
        <item x="55"/>
        <item x="47"/>
        <item x="95"/>
        <item x="81"/>
        <item x="105"/>
        <item x="57"/>
        <item x="120"/>
        <item x="108"/>
        <item x="38"/>
        <item x="11"/>
        <item x="36"/>
        <item x="92"/>
        <item x="0"/>
        <item x="99"/>
        <item x="71"/>
        <item x="27"/>
        <item x="1"/>
        <item x="113"/>
        <item x="121"/>
        <item x="75"/>
        <item x="13"/>
        <item x="23"/>
        <item x="45"/>
        <item x="88"/>
        <item x="80"/>
        <item x="3"/>
        <item x="118"/>
        <item x="67"/>
        <item x="63"/>
        <item x="20"/>
        <item x="28"/>
        <item x="72"/>
        <item x="19"/>
        <item x="65"/>
        <item x="6"/>
        <item x="83"/>
        <item x="68"/>
        <item x="35"/>
        <item x="126"/>
        <item x="50"/>
        <item x="116"/>
        <item x="5"/>
        <item x="111"/>
        <item x="127"/>
        <item x="125"/>
        <item x="33"/>
        <item x="91"/>
        <item x="74"/>
        <item x="90"/>
        <item x="46"/>
        <item x="102"/>
        <item x="110"/>
        <item x="106"/>
        <item x="93"/>
        <item x="94"/>
        <item x="101"/>
        <item x="104"/>
        <item x="122"/>
        <item x="7"/>
        <item x="112"/>
        <item x="48"/>
        <item x="100"/>
        <item x="15"/>
        <item x="98"/>
        <item x="9"/>
        <item x="31"/>
        <item x="22"/>
        <item x="82"/>
        <item x="34"/>
        <item x="37"/>
        <item x="60"/>
        <item x="56"/>
        <item x="53"/>
        <item x="77"/>
        <item x="79"/>
        <item x="32"/>
        <item x="114"/>
        <item x="115"/>
        <item x="16"/>
        <item x="107"/>
        <item x="96"/>
        <item x="62"/>
        <item x="43"/>
        <item x="24"/>
        <item x="87"/>
        <item x="40"/>
        <item x="52"/>
        <item x="130"/>
        <item x="25"/>
        <item x="12"/>
        <item x="78"/>
        <item x="66"/>
        <item x="17"/>
        <item x="54"/>
        <item x="128"/>
        <item x="61"/>
        <item x="44"/>
        <item x="26"/>
        <item x="89"/>
        <item x="73"/>
        <item x="124"/>
        <item x="41"/>
        <item x="58"/>
        <item x="42"/>
        <item x="97"/>
        <item x="64"/>
        <item x="29"/>
        <item x="4"/>
        <item x="123"/>
        <item x="86"/>
        <item x="76"/>
        <item x="70"/>
        <item x="85"/>
        <item x="119"/>
        <item x="18"/>
        <item x="30"/>
        <item x="8"/>
        <item x="14"/>
        <item x="69"/>
        <item x="84"/>
        <item x="117"/>
        <item x="1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165" outline="0" showAll="0"/>
    <pivotField compact="0" outline="0" showAll="0"/>
  </pivotFields>
  <rowFields count="1">
    <field x="2"/>
  </rowFields>
  <rowItems count="10">
    <i>
      <x v="107"/>
    </i>
    <i>
      <x v="121"/>
    </i>
    <i>
      <x v="128"/>
    </i>
    <i>
      <x v="5"/>
    </i>
    <i>
      <x v="44"/>
    </i>
    <i>
      <x v="62"/>
    </i>
    <i>
      <x v="83"/>
    </i>
    <i>
      <x v="32"/>
    </i>
    <i>
      <x v="34"/>
    </i>
    <i>
      <x v="23"/>
    </i>
  </rowItems>
  <colItems count="1">
    <i/>
  </colItems>
  <dataFields count="1">
    <dataField name="Avg Sale Price" fld="6" subtotal="average" baseField="0" baseItem="0" numFmtId="164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BC3A8A-240C-4362-8B53-D446F99F7A57}" name="PivotTable6" cacheId="84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17:B28" firstHeaderRow="1" firstDataRow="1" firstDataCol="1"/>
  <pivotFields count="19">
    <pivotField compact="0" outline="0" showAll="0"/>
    <pivotField compact="0" outline="0" showAll="0"/>
    <pivotField axis="axisRow" compact="0" outline="0" showAll="0" measureFilter="1" sortType="descending">
      <items count="132">
        <item x="21"/>
        <item x="39"/>
        <item x="103"/>
        <item x="51"/>
        <item x="59"/>
        <item x="49"/>
        <item x="10"/>
        <item x="2"/>
        <item x="109"/>
        <item x="55"/>
        <item x="47"/>
        <item x="95"/>
        <item x="81"/>
        <item x="105"/>
        <item x="57"/>
        <item x="120"/>
        <item x="108"/>
        <item x="38"/>
        <item x="11"/>
        <item x="36"/>
        <item x="92"/>
        <item x="0"/>
        <item x="99"/>
        <item x="71"/>
        <item x="27"/>
        <item x="1"/>
        <item x="113"/>
        <item x="121"/>
        <item x="75"/>
        <item x="13"/>
        <item x="23"/>
        <item x="45"/>
        <item x="88"/>
        <item x="80"/>
        <item x="3"/>
        <item x="118"/>
        <item x="67"/>
        <item x="63"/>
        <item x="20"/>
        <item x="28"/>
        <item x="72"/>
        <item x="19"/>
        <item x="65"/>
        <item x="6"/>
        <item x="83"/>
        <item x="68"/>
        <item x="35"/>
        <item x="126"/>
        <item x="50"/>
        <item x="116"/>
        <item x="5"/>
        <item x="111"/>
        <item x="127"/>
        <item x="125"/>
        <item x="33"/>
        <item x="91"/>
        <item x="74"/>
        <item x="90"/>
        <item x="46"/>
        <item x="102"/>
        <item x="110"/>
        <item x="106"/>
        <item x="93"/>
        <item x="94"/>
        <item x="101"/>
        <item x="104"/>
        <item x="122"/>
        <item x="7"/>
        <item x="112"/>
        <item x="48"/>
        <item x="100"/>
        <item x="15"/>
        <item x="98"/>
        <item x="9"/>
        <item x="31"/>
        <item x="22"/>
        <item x="82"/>
        <item x="34"/>
        <item x="37"/>
        <item x="60"/>
        <item x="56"/>
        <item x="53"/>
        <item x="77"/>
        <item x="79"/>
        <item x="32"/>
        <item x="114"/>
        <item x="115"/>
        <item x="16"/>
        <item x="107"/>
        <item x="96"/>
        <item x="62"/>
        <item x="43"/>
        <item x="24"/>
        <item x="87"/>
        <item x="40"/>
        <item x="52"/>
        <item x="130"/>
        <item x="25"/>
        <item x="12"/>
        <item x="78"/>
        <item x="66"/>
        <item x="17"/>
        <item x="54"/>
        <item x="128"/>
        <item x="61"/>
        <item x="44"/>
        <item x="26"/>
        <item x="89"/>
        <item x="73"/>
        <item x="124"/>
        <item x="41"/>
        <item x="58"/>
        <item x="42"/>
        <item x="97"/>
        <item x="64"/>
        <item x="29"/>
        <item x="4"/>
        <item x="123"/>
        <item x="86"/>
        <item x="76"/>
        <item x="70"/>
        <item x="85"/>
        <item x="119"/>
        <item x="18"/>
        <item x="30"/>
        <item x="8"/>
        <item x="14"/>
        <item x="69"/>
        <item x="84"/>
        <item x="117"/>
        <item x="1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165" outline="0" showAll="0"/>
    <pivotField compact="0" outline="0" showAll="0"/>
  </pivotFields>
  <rowFields count="1">
    <field x="2"/>
  </rowFields>
  <rowItems count="11">
    <i>
      <x v="96"/>
    </i>
    <i>
      <x v="100"/>
    </i>
    <i>
      <x v="57"/>
    </i>
    <i>
      <x v="95"/>
    </i>
    <i>
      <x v="85"/>
    </i>
    <i>
      <x v="53"/>
    </i>
    <i>
      <x v="27"/>
    </i>
    <i>
      <x v="4"/>
    </i>
    <i>
      <x v="74"/>
    </i>
    <i>
      <x v="52"/>
    </i>
    <i>
      <x v="3"/>
    </i>
  </rowItems>
  <colItems count="1">
    <i/>
  </colItems>
  <dataFields count="1">
    <dataField name="Avg Sale Price" fld="6" baseField="0" baseItem="0" numFmtId="164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49307-A0B8-4322-B21A-E3EB14874BFF}" name="PivotTable5" cacheId="84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4:B13" firstHeaderRow="1" firstDataRow="1" firstDataCol="1"/>
  <pivotFields count="19">
    <pivotField compact="0" outline="0" showAll="0"/>
    <pivotField axis="axisRow" compact="0" outline="0" showAll="0" sortType="descending">
      <items count="10">
        <item x="7"/>
        <item x="6"/>
        <item x="5"/>
        <item x="0"/>
        <item x="3"/>
        <item x="4"/>
        <item x="2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165" outline="0" showAll="0"/>
    <pivotField compact="0" outline="0" showAll="0"/>
  </pivotFields>
  <rowFields count="1">
    <field x="1"/>
  </rowFields>
  <rowItems count="9">
    <i>
      <x v="7"/>
    </i>
    <i>
      <x/>
    </i>
    <i>
      <x v="1"/>
    </i>
    <i>
      <x v="5"/>
    </i>
    <i>
      <x v="6"/>
    </i>
    <i>
      <x v="2"/>
    </i>
    <i>
      <x v="8"/>
    </i>
    <i>
      <x v="4"/>
    </i>
    <i>
      <x v="3"/>
    </i>
  </rowItems>
  <colItems count="1">
    <i/>
  </colItems>
  <dataFields count="1">
    <dataField name="Avg Sale Price" fld="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BE815-D86C-4F11-9718-919CEC834524}" name="PivotTable1" cacheId="8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4:B14" firstHeaderRow="1" firstDataRow="1" firstDataCol="1"/>
  <pivotFields count="19">
    <pivotField dataField="1" compact="0" outline="0" showAll="0"/>
    <pivotField axis="axisRow" compact="0" outline="0" showAll="0" sortType="descending">
      <items count="10">
        <item x="7"/>
        <item x="6"/>
        <item x="5"/>
        <item x="0"/>
        <item x="3"/>
        <item x="4"/>
        <item x="2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165" outline="0" showAll="0"/>
    <pivotField compact="0" outline="0" showAll="0"/>
  </pivotFields>
  <rowFields count="1">
    <field x="1"/>
  </rowFields>
  <rowItems count="10">
    <i>
      <x v="8"/>
    </i>
    <i>
      <x v="6"/>
    </i>
    <i>
      <x v="3"/>
    </i>
    <i>
      <x v="4"/>
    </i>
    <i>
      <x v="1"/>
    </i>
    <i>
      <x v="2"/>
    </i>
    <i>
      <x v="5"/>
    </i>
    <i>
      <x/>
    </i>
    <i>
      <x v="7"/>
    </i>
    <i t="grand">
      <x/>
    </i>
  </rowItems>
  <colItems count="1">
    <i/>
  </colItems>
  <dataFields count="1">
    <dataField name="Units Sold" fld="0" subtotal="count" baseField="0" baseItem="0"/>
  </dataFields>
  <chartFormats count="5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4E278-6333-4E18-94D2-B26F25E253CA}" name="PivotTable3" cacheId="8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7:B27" firstHeaderRow="1" firstDataRow="1" firstDataCol="1"/>
  <pivotFields count="19">
    <pivotField compact="0" outline="0" showAll="0"/>
    <pivotField axis="axisRow" compact="0" outline="0" showAll="0" sortType="descending">
      <items count="10">
        <item x="7"/>
        <item x="6"/>
        <item x="5"/>
        <item x="0"/>
        <item x="3"/>
        <item x="4"/>
        <item x="2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165" outline="0" showAll="0"/>
    <pivotField compact="0" outline="0" showAll="0"/>
  </pivotFields>
  <rowFields count="1">
    <field x="1"/>
  </rowFields>
  <rowItems count="10">
    <i>
      <x v="7"/>
    </i>
    <i>
      <x/>
    </i>
    <i>
      <x v="1"/>
    </i>
    <i>
      <x v="8"/>
    </i>
    <i>
      <x v="6"/>
    </i>
    <i>
      <x v="2"/>
    </i>
    <i>
      <x v="4"/>
    </i>
    <i>
      <x v="5"/>
    </i>
    <i>
      <x v="3"/>
    </i>
    <i t="grand">
      <x/>
    </i>
  </rowItems>
  <colItems count="1">
    <i/>
  </colItems>
  <dataFields count="1">
    <dataField name="Total Revenue" fld="6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C9343-3F87-4136-85EF-B0376BC09689}" name="PivotTable4" cacheId="8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B16" firstHeaderRow="1" firstDataRow="1" firstDataCol="1"/>
  <pivotFields count="1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name="Sales Date" axis="axisRow" compact="0" numFmtId="165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</pivotFields>
  <rowFields count="1">
    <field x="1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Units Sold" fld="0" subtotal="count" baseField="0" baseItem="0"/>
  </dataField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6DDEE-8994-46DA-A991-43373385D967}" name="PivotTable5" cacheId="8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18:C31" firstHeaderRow="0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name="Sales Date" axis="axisRow" compact="0" numFmtId="165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</pivotFields>
  <rowFields count="1">
    <field x="1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6" baseField="0" baseItem="0" numFmtId="164"/>
    <dataField name="Avg Sale Price" fld="6" subtotal="average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EEB4DB-33B5-4D98-93A3-F21290305A4F}" name="PivotTable3" cacheId="8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3:B39" firstHeaderRow="1" firstDataRow="1" firstDataCol="1" rowPageCount="1" colPageCount="1"/>
  <pivotFields count="19">
    <pivotField compact="0" outline="0" showAll="0"/>
    <pivotField compact="0" outline="0" showAll="0"/>
    <pivotField compact="0" outline="0" showAll="0"/>
    <pivotField name="Vehicle Category" axis="axisRow" compact="0" outline="0" showAll="0" sortType="descending">
      <items count="6">
        <item x="3"/>
        <item x="0"/>
        <item x="1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name="Market Segment" axis="axisPage" compact="0" outline="0" showAll="0">
      <items count="3">
        <item h="1" x="1"/>
        <item x="0"/>
        <item t="default"/>
      </items>
    </pivotField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165" outline="0" showAll="0"/>
    <pivotField compact="0" outline="0" showAll="0"/>
  </pivotFields>
  <rowFields count="1">
    <field x="3"/>
  </rowFields>
  <rowItems count="6">
    <i>
      <x v="2"/>
    </i>
    <i>
      <x v="1"/>
    </i>
    <i>
      <x/>
    </i>
    <i>
      <x v="3"/>
    </i>
    <i>
      <x v="4"/>
    </i>
    <i t="grand">
      <x/>
    </i>
  </rowItems>
  <colItems count="1">
    <i/>
  </colItems>
  <pageFields count="1">
    <pageField fld="5" item="1" hier="-1"/>
  </pageFields>
  <dataFields count="1">
    <dataField name="Total Revenue" fld="6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BF70F-590F-49F9-97FA-96EC1FA36B68}" name="PivotTable2" cacheId="8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3:B29" firstHeaderRow="1" firstDataRow="1" firstDataCol="1" rowPageCount="1" colPageCount="1"/>
  <pivotFields count="19">
    <pivotField dataField="1" compact="0" outline="0" showAll="0"/>
    <pivotField compact="0" outline="0" showAll="0"/>
    <pivotField compact="0" outline="0" showAll="0"/>
    <pivotField name="Vehicle Category" axis="axisRow" compact="0" outline="0" showAll="0" sortType="descending">
      <items count="6">
        <item x="3"/>
        <item x="0"/>
        <item x="1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name="Market Segment" axis="axisPage" compact="0" outline="0" showAll="0">
      <items count="3">
        <item h="1" x="1"/>
        <item x="0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165" outline="0" showAll="0"/>
    <pivotField compact="0" outline="0" showAll="0"/>
  </pivotFields>
  <rowFields count="1">
    <field x="3"/>
  </rowFields>
  <rowItems count="6">
    <i>
      <x v="2"/>
    </i>
    <i>
      <x v="1"/>
    </i>
    <i>
      <x/>
    </i>
    <i>
      <x v="3"/>
    </i>
    <i>
      <x v="4"/>
    </i>
    <i t="grand">
      <x/>
    </i>
  </rowItems>
  <colItems count="1">
    <i/>
  </colItems>
  <pageFields count="1">
    <pageField fld="5" item="1" hier="-1"/>
  </pageFields>
  <dataFields count="1">
    <dataField name="Units Sold" fld="0" subtotal="count" baseField="0" baseItem="0"/>
  </dataFields>
  <chartFormats count="1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18CD8-79E9-45A1-AAEA-260D121EDA74}" name="PivotTable4" cacheId="84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">
  <location ref="A14:B19" firstHeaderRow="1" firstDataRow="1" firstDataCol="1" rowPageCount="1" colPageCount="1"/>
  <pivotFields count="19">
    <pivotField compact="0" outline="0" showAll="0"/>
    <pivotField compact="0" outline="0" showAll="0"/>
    <pivotField compact="0" outline="0" showAll="0"/>
    <pivotField name="Vehicle Category" axis="axisRow" compact="0" outline="0" showAll="0" sortType="descending">
      <items count="6">
        <item x="3"/>
        <item x="0"/>
        <item x="1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name="Market Segment" axis="axisPage" compact="0" outline="0" showAll="0">
      <items count="3">
        <item x="1"/>
        <item h="1" x="0"/>
        <item t="default"/>
      </items>
    </pivotField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165" outline="0" showAll="0"/>
    <pivotField compact="0" outline="0" showAll="0"/>
  </pivotFields>
  <rowFields count="1">
    <field x="3"/>
  </rowFields>
  <rowItems count="5">
    <i>
      <x v="1"/>
    </i>
    <i>
      <x/>
    </i>
    <i>
      <x v="2"/>
    </i>
    <i>
      <x v="3"/>
    </i>
    <i t="grand">
      <x/>
    </i>
  </rowItems>
  <colItems count="1">
    <i/>
  </colItems>
  <pageFields count="1">
    <pageField fld="5" item="0" hier="-1"/>
  </pageFields>
  <dataFields count="1">
    <dataField name="Total Revenue" fld="6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A45A9-C6BE-4344-9722-CA4B13E47FF4}" name="PivotTable1" cacheId="84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7">
  <location ref="A5:B10" firstHeaderRow="1" firstDataRow="1" firstDataCol="1" rowPageCount="1" colPageCount="1"/>
  <pivotFields count="19">
    <pivotField dataField="1" compact="0" outline="0" showAll="0"/>
    <pivotField compact="0" outline="0" showAll="0"/>
    <pivotField compact="0" outline="0" showAll="0"/>
    <pivotField name="Vehicle Category" axis="axisRow" compact="0" outline="0" showAll="0" sortType="descending">
      <items count="6">
        <item x="3"/>
        <item x="0"/>
        <item x="1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name="Market Segment" axis="axisPage" compact="0" outline="0" showAll="0">
      <items count="3">
        <item x="1"/>
        <item h="1" x="0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165" outline="0" showAll="0"/>
    <pivotField compact="0" outline="0" showAll="0"/>
  </pivotFields>
  <rowFields count="1">
    <field x="3"/>
  </rowFields>
  <rowItems count="5">
    <i>
      <x v="1"/>
    </i>
    <i>
      <x v="2"/>
    </i>
    <i>
      <x/>
    </i>
    <i>
      <x v="3"/>
    </i>
    <i t="grand">
      <x/>
    </i>
  </rowItems>
  <colItems count="1">
    <i/>
  </colItems>
  <pageFields count="1">
    <pageField fld="5" item="0" hier="-1"/>
  </pageFields>
  <dataFields count="1">
    <dataField name="Units Sold" fld="0" subtotal="count" baseField="0" baseItem="0"/>
  </dataFields>
  <chartFormats count="4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0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0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0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1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1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0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0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0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"/>
          </reference>
        </references>
      </pivotArea>
    </chartFormat>
    <chartFormat chart="2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chartFormat>
    <chartFormat chart="2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1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0"/>
          </reference>
        </references>
      </pivotArea>
    </chartFormat>
    <chartFormat chart="4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0"/>
          </reference>
        </references>
      </pivotArea>
    </chartFormat>
    <chartFormat chart="4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0"/>
          </reference>
        </references>
      </pivotArea>
    </chartFormat>
    <chartFormat chart="4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chartFormat>
    <chartFormat chart="4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chartFormat>
    <chartFormat chart="4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1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chartFormat>
    <chartFormat chart="4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0"/>
          </reference>
        </references>
      </pivotArea>
    </chartFormat>
    <chartFormat chart="5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0"/>
          </reference>
        </references>
      </pivotArea>
    </chartFormat>
    <chartFormat chart="5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0"/>
          </reference>
        </references>
      </pivotArea>
    </chartFormat>
    <chartFormat chart="5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chartFormat>
    <chartFormat chart="5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"/>
          </reference>
        </references>
      </pivotArea>
    </chartFormat>
    <chartFormat chart="5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chartFormat>
    <chartFormat chart="5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1"/>
          </reference>
        </references>
      </pivotArea>
    </chartFormat>
    <chartFormat chart="5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chartFormat>
    <chartFormat chart="5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1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3705F-ECD1-4516-A962-BBC287193F02}" name="PivotTable12" cacheId="8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F17" firstHeaderRow="1" firstDataRow="2" firstDataCol="1"/>
  <pivotFields count="19">
    <pivotField dataField="1" compact="0" outline="0" showAll="0">
      <items count="137">
        <item x="5"/>
        <item x="92"/>
        <item x="100"/>
        <item x="108"/>
        <item x="14"/>
        <item x="116"/>
        <item x="23"/>
        <item x="124"/>
        <item x="32"/>
        <item x="132"/>
        <item x="41"/>
        <item x="55"/>
        <item x="76"/>
        <item x="84"/>
        <item x="15"/>
        <item x="24"/>
        <item x="33"/>
        <item x="42"/>
        <item x="48"/>
        <item x="62"/>
        <item x="69"/>
        <item x="77"/>
        <item x="85"/>
        <item x="93"/>
        <item x="101"/>
        <item x="109"/>
        <item x="117"/>
        <item x="125"/>
        <item x="133"/>
        <item x="6"/>
        <item x="34"/>
        <item x="118"/>
        <item x="43"/>
        <item x="126"/>
        <item x="49"/>
        <item x="134"/>
        <item x="63"/>
        <item x="70"/>
        <item x="78"/>
        <item x="86"/>
        <item x="94"/>
        <item x="16"/>
        <item x="102"/>
        <item x="25"/>
        <item x="110"/>
        <item x="7"/>
        <item x="0"/>
        <item x="10"/>
        <item x="19"/>
        <item x="28"/>
        <item x="37"/>
        <item x="45"/>
        <item x="51"/>
        <item x="58"/>
        <item x="65"/>
        <item x="72"/>
        <item x="80"/>
        <item x="88"/>
        <item x="96"/>
        <item x="104"/>
        <item x="112"/>
        <item x="120"/>
        <item x="128"/>
        <item x="30"/>
        <item x="106"/>
        <item x="39"/>
        <item x="114"/>
        <item x="47"/>
        <item x="122"/>
        <item x="53"/>
        <item x="130"/>
        <item x="60"/>
        <item x="67"/>
        <item x="74"/>
        <item x="82"/>
        <item x="12"/>
        <item x="90"/>
        <item x="21"/>
        <item x="98"/>
        <item x="1"/>
        <item x="2"/>
        <item x="29"/>
        <item x="105"/>
        <item x="38"/>
        <item x="113"/>
        <item x="46"/>
        <item x="121"/>
        <item x="52"/>
        <item x="129"/>
        <item x="59"/>
        <item x="66"/>
        <item x="73"/>
        <item x="81"/>
        <item x="11"/>
        <item x="89"/>
        <item x="20"/>
        <item x="97"/>
        <item x="3"/>
        <item x="9"/>
        <item x="18"/>
        <item x="27"/>
        <item x="36"/>
        <item x="50"/>
        <item x="57"/>
        <item x="71"/>
        <item x="87"/>
        <item x="103"/>
        <item x="119"/>
        <item x="135"/>
        <item x="13"/>
        <item x="22"/>
        <item x="31"/>
        <item x="40"/>
        <item x="54"/>
        <item x="61"/>
        <item x="68"/>
        <item x="75"/>
        <item x="83"/>
        <item x="91"/>
        <item x="99"/>
        <item x="107"/>
        <item x="115"/>
        <item x="123"/>
        <item x="131"/>
        <item x="4"/>
        <item x="8"/>
        <item x="17"/>
        <item x="26"/>
        <item x="35"/>
        <item x="44"/>
        <item x="56"/>
        <item x="64"/>
        <item x="79"/>
        <item x="95"/>
        <item x="111"/>
        <item x="12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Fuel Type" axis="axisCol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numFmtId="3" outline="0" showAll="0"/>
    <pivotField compact="0" outline="0" showAll="0"/>
    <pivotField name="Sales Date" axis="axisRow" compact="0" numFmtId="165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</pivotFields>
  <rowFields count="1">
    <field x="1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Units Sold" fld="0" subtotal="count" baseField="0" baseItem="0"/>
  </dataFields>
  <chartFormats count="20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D64AD-0335-432F-B391-1E44C9F286B4}" name="PivotTable48" cacheId="8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D10" firstHeaderRow="1" firstDataRow="2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Market Segment" axis="axisCol" compact="0" outline="0" showAll="0">
      <items count="3">
        <item x="1"/>
        <item x="0"/>
        <item t="default"/>
      </items>
    </pivotField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name="Dealer Region" axis="axisRow" compact="0" outline="0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165" outline="0" showAll="0"/>
    <pivotField compact="0" outline="0" showAll="0"/>
  </pivotFields>
  <rowFields count="1">
    <field x="11"/>
  </rowFields>
  <rowItems count="5">
    <i>
      <x v="3"/>
    </i>
    <i>
      <x v="1"/>
    </i>
    <i>
      <x/>
    </i>
    <i>
      <x v="2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Total Revenue" fld="6" baseField="0" baseItem="0" numFmtId="164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BC2552-B9C5-42CA-B2A6-13C744E5A28D}" name="Table1" displayName="Table1" ref="A1:S138" totalsRowShown="0">
  <autoFilter ref="A1:S138" xr:uid="{2DBC2552-B9C5-42CA-B2A6-13C744E5A28D}"/>
  <tableColumns count="19">
    <tableColumn id="1" xr3:uid="{C582F1FB-AEF2-419D-B3BF-CAD51FC8D6AC}" name="VIN"/>
    <tableColumn id="2" xr3:uid="{20518161-E5D5-4CA0-9A0D-53A160BB6409}" name="Make"/>
    <tableColumn id="3" xr3:uid="{01BF7855-9E0E-4EC7-9923-4A3B512B6A62}" name="Model"/>
    <tableColumn id="4" xr3:uid="{EEB613E2-9F6A-4C52-8678-2E4D062777B8}" name="Vehicle_Category"/>
    <tableColumn id="5" xr3:uid="{1599DF77-15ED-4B8B-9A51-FA4A914B2A05}" name="Vehicle_Sub_Category"/>
    <tableColumn id="6" xr3:uid="{CFC5DE78-51CB-4ED5-82CC-809B7D724E77}" name="Market_Segment"/>
    <tableColumn id="7" xr3:uid="{DA534E5F-76E7-4C0C-845B-972E7F6FEC26}" name="Sale_Price" dataDxfId="12"/>
    <tableColumn id="8" xr3:uid="{26925192-675D-4AC5-AD45-66E890CE54F4}" name="Sale_Price_Segment" dataDxfId="11"/>
    <tableColumn id="9" xr3:uid="{9EF4C70A-A602-4C7B-A4B5-281A97538AA3}" name="Customer_Name" dataDxfId="10"/>
    <tableColumn id="10" xr3:uid="{4713A968-6DEF-4A3A-BB0E-59C02397EC7B}" name="Customer_Email" dataDxfId="9"/>
    <tableColumn id="11" xr3:uid="{AA2AF0CE-05ED-4C15-BAA4-D0BC8E8EEDEA}" name="Dealer_Name" dataDxfId="8"/>
    <tableColumn id="12" xr3:uid="{9F8CDF1D-C6D5-4CB9-AAEC-A78E56023006}" name="Dealer_Region" dataDxfId="7"/>
    <tableColumn id="13" xr3:uid="{8E51CD1C-36AD-405D-94B8-D1C205C26B4A}" name="Fuel_Type" dataDxfId="6"/>
    <tableColumn id="20" xr3:uid="{C7470E08-1591-4D00-82B6-9E751D539CE6}" name="Engine_Size (L)" dataDxfId="5"/>
    <tableColumn id="15" xr3:uid="{18E6B68D-EE29-486D-9CEF-5A2BC19C4381}" name="Color" dataDxfId="4"/>
    <tableColumn id="16" xr3:uid="{22B3E820-9D04-4BD5-B2A4-4F91ADEBDA10}" name="Mileage" dataDxfId="3"/>
    <tableColumn id="17" xr3:uid="{36EF8495-11A2-496C-8FF5-7DF26664A14D}" name="Model_Year" dataDxfId="2"/>
    <tableColumn id="18" xr3:uid="{5FD562B3-BD98-4A65-A757-587683184E81}" name="Sales_Date" dataDxfId="1"/>
    <tableColumn id="19" xr3:uid="{AE4F064C-2AFC-487B-8797-7ED08A2843FC}" name="Quarter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2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2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24CA-1EF9-42B8-AFB7-6CEDF4FD5770}">
  <dimension ref="A1:T139"/>
  <sheetViews>
    <sheetView workbookViewId="0">
      <selection activeCell="Q2" sqref="Q2"/>
    </sheetView>
  </sheetViews>
  <sheetFormatPr defaultRowHeight="15"/>
  <cols>
    <col min="1" max="1" width="22.140625" bestFit="1" customWidth="1"/>
    <col min="2" max="2" width="9.5703125" bestFit="1" customWidth="1"/>
    <col min="3" max="3" width="16.85546875" bestFit="1" customWidth="1"/>
    <col min="4" max="4" width="16.5703125" bestFit="1" customWidth="1"/>
    <col min="5" max="5" width="24.28515625" bestFit="1" customWidth="1"/>
    <col min="6" max="6" width="19.28515625" bestFit="1" customWidth="1"/>
    <col min="7" max="7" width="10.140625" bestFit="1" customWidth="1"/>
    <col min="8" max="8" width="19.140625" bestFit="1" customWidth="1"/>
    <col min="9" max="9" width="18.85546875" bestFit="1" customWidth="1"/>
    <col min="10" max="10" width="26.5703125" bestFit="1" customWidth="1"/>
    <col min="11" max="11" width="13.7109375" bestFit="1" customWidth="1"/>
    <col min="12" max="12" width="14" bestFit="1" customWidth="1"/>
    <col min="13" max="13" width="10.140625" bestFit="1" customWidth="1"/>
    <col min="14" max="14" width="18.28515625" bestFit="1" customWidth="1"/>
    <col min="15" max="15" width="7.5703125" bestFit="1" customWidth="1"/>
    <col min="16" max="16" width="8.140625" bestFit="1" customWidth="1"/>
    <col min="17" max="17" width="11.7109375" bestFit="1" customWidth="1"/>
    <col min="18" max="19" width="13" bestFit="1" customWidth="1"/>
    <col min="20" max="20" width="8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24500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15000</v>
      </c>
      <c r="Q2">
        <v>2021</v>
      </c>
      <c r="R2">
        <v>202401</v>
      </c>
      <c r="S2" t="s">
        <v>34</v>
      </c>
      <c r="T2" t="s">
        <v>35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24500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>
        <v>15000</v>
      </c>
      <c r="Q3">
        <v>2021</v>
      </c>
      <c r="R3">
        <v>202401</v>
      </c>
      <c r="S3" t="s">
        <v>34</v>
      </c>
      <c r="T3" t="s">
        <v>35</v>
      </c>
    </row>
    <row r="4" spans="1:20">
      <c r="A4" t="s">
        <v>36</v>
      </c>
      <c r="B4" t="s">
        <v>37</v>
      </c>
      <c r="C4" t="s">
        <v>38</v>
      </c>
      <c r="D4" t="s">
        <v>39</v>
      </c>
      <c r="E4" t="s">
        <v>24</v>
      </c>
      <c r="F4" t="s">
        <v>25</v>
      </c>
      <c r="G4">
        <v>24500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>
        <v>8500</v>
      </c>
      <c r="Q4">
        <v>2021</v>
      </c>
      <c r="R4">
        <v>202401</v>
      </c>
      <c r="S4" t="s">
        <v>34</v>
      </c>
      <c r="T4" t="s">
        <v>35</v>
      </c>
    </row>
    <row r="5" spans="1:20">
      <c r="A5" t="s">
        <v>48</v>
      </c>
      <c r="B5" t="s">
        <v>49</v>
      </c>
      <c r="C5" t="s">
        <v>50</v>
      </c>
      <c r="D5" t="s">
        <v>23</v>
      </c>
      <c r="E5" t="s">
        <v>51</v>
      </c>
      <c r="F5" t="s">
        <v>25</v>
      </c>
      <c r="G5">
        <v>26800</v>
      </c>
      <c r="H5" t="s">
        <v>52</v>
      </c>
      <c r="I5" t="s">
        <v>53</v>
      </c>
      <c r="J5" t="s">
        <v>54</v>
      </c>
      <c r="L5" t="s">
        <v>30</v>
      </c>
      <c r="M5" t="s">
        <v>31</v>
      </c>
      <c r="N5" t="s">
        <v>55</v>
      </c>
      <c r="O5" t="s">
        <v>56</v>
      </c>
      <c r="P5">
        <v>22000</v>
      </c>
      <c r="Q5">
        <v>2020</v>
      </c>
      <c r="R5">
        <v>202402</v>
      </c>
      <c r="S5" t="s">
        <v>57</v>
      </c>
      <c r="T5" t="s">
        <v>35</v>
      </c>
    </row>
    <row r="6" spans="1:20">
      <c r="A6" t="s">
        <v>58</v>
      </c>
      <c r="B6" t="s">
        <v>59</v>
      </c>
      <c r="C6" t="s">
        <v>60</v>
      </c>
      <c r="D6" t="s">
        <v>23</v>
      </c>
      <c r="E6" t="s">
        <v>24</v>
      </c>
      <c r="F6" t="s">
        <v>25</v>
      </c>
      <c r="G6">
        <v>22900</v>
      </c>
      <c r="H6" t="s">
        <v>26</v>
      </c>
      <c r="I6" t="s">
        <v>61</v>
      </c>
      <c r="J6" t="s">
        <v>62</v>
      </c>
      <c r="K6" t="s">
        <v>63</v>
      </c>
      <c r="L6" t="s">
        <v>44</v>
      </c>
      <c r="M6" t="s">
        <v>31</v>
      </c>
      <c r="N6" t="s">
        <v>64</v>
      </c>
      <c r="O6" t="s">
        <v>65</v>
      </c>
      <c r="P6">
        <v>12000</v>
      </c>
      <c r="Q6">
        <v>2022</v>
      </c>
      <c r="R6">
        <v>202402</v>
      </c>
      <c r="S6" t="s">
        <v>57</v>
      </c>
      <c r="T6" t="s">
        <v>35</v>
      </c>
    </row>
    <row r="7" spans="1:20">
      <c r="A7" t="s">
        <v>66</v>
      </c>
      <c r="B7" t="s">
        <v>59</v>
      </c>
      <c r="C7" t="s">
        <v>67</v>
      </c>
      <c r="D7" t="s">
        <v>68</v>
      </c>
      <c r="E7" t="s">
        <v>69</v>
      </c>
      <c r="F7" t="s">
        <v>25</v>
      </c>
      <c r="G7">
        <v>29500</v>
      </c>
      <c r="H7" t="s">
        <v>52</v>
      </c>
      <c r="I7" t="s">
        <v>70</v>
      </c>
      <c r="J7" t="s">
        <v>71</v>
      </c>
      <c r="K7" t="s">
        <v>63</v>
      </c>
      <c r="L7" t="s">
        <v>44</v>
      </c>
      <c r="M7" t="s">
        <v>31</v>
      </c>
      <c r="N7" t="s">
        <v>72</v>
      </c>
      <c r="O7" t="s">
        <v>73</v>
      </c>
      <c r="P7">
        <v>28000</v>
      </c>
      <c r="Q7">
        <v>2019</v>
      </c>
      <c r="R7">
        <v>202402</v>
      </c>
      <c r="S7" t="s">
        <v>57</v>
      </c>
      <c r="T7" t="s">
        <v>35</v>
      </c>
    </row>
    <row r="8" spans="1:20">
      <c r="A8" t="s">
        <v>74</v>
      </c>
      <c r="B8" t="s">
        <v>75</v>
      </c>
      <c r="C8" t="s">
        <v>76</v>
      </c>
      <c r="D8" t="s">
        <v>68</v>
      </c>
      <c r="E8" t="s">
        <v>77</v>
      </c>
      <c r="F8" t="s">
        <v>25</v>
      </c>
      <c r="G8">
        <v>38900</v>
      </c>
      <c r="H8" t="s">
        <v>52</v>
      </c>
      <c r="I8" t="s">
        <v>78</v>
      </c>
      <c r="J8" t="s">
        <v>79</v>
      </c>
      <c r="K8" t="s">
        <v>80</v>
      </c>
      <c r="L8" t="s">
        <v>81</v>
      </c>
      <c r="M8" t="s">
        <v>31</v>
      </c>
      <c r="N8" t="s">
        <v>82</v>
      </c>
      <c r="O8" t="s">
        <v>83</v>
      </c>
      <c r="P8">
        <v>35000</v>
      </c>
      <c r="Q8">
        <v>2020</v>
      </c>
      <c r="R8">
        <v>202402</v>
      </c>
      <c r="S8" t="s">
        <v>57</v>
      </c>
      <c r="T8" t="s">
        <v>35</v>
      </c>
    </row>
    <row r="9" spans="1:20">
      <c r="A9" t="s">
        <v>84</v>
      </c>
      <c r="B9" t="s">
        <v>85</v>
      </c>
      <c r="C9" t="s">
        <v>86</v>
      </c>
      <c r="D9" t="s">
        <v>87</v>
      </c>
      <c r="E9" t="s">
        <v>88</v>
      </c>
      <c r="F9" t="s">
        <v>25</v>
      </c>
      <c r="G9">
        <v>42000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  <c r="M9" t="s">
        <v>31</v>
      </c>
      <c r="N9" t="s">
        <v>94</v>
      </c>
      <c r="O9" t="s">
        <v>33</v>
      </c>
      <c r="P9">
        <v>18000</v>
      </c>
      <c r="Q9">
        <v>2021</v>
      </c>
      <c r="R9">
        <v>202402</v>
      </c>
      <c r="S9" t="s">
        <v>57</v>
      </c>
      <c r="T9" t="s">
        <v>35</v>
      </c>
    </row>
    <row r="10" spans="1:20">
      <c r="A10" t="s">
        <v>95</v>
      </c>
      <c r="B10" t="s">
        <v>96</v>
      </c>
      <c r="C10" t="s">
        <v>97</v>
      </c>
      <c r="D10" t="s">
        <v>23</v>
      </c>
      <c r="E10" t="s">
        <v>51</v>
      </c>
      <c r="F10" t="s">
        <v>25</v>
      </c>
      <c r="G10">
        <v>25500</v>
      </c>
      <c r="H10" t="s">
        <v>52</v>
      </c>
      <c r="J10" t="s">
        <v>98</v>
      </c>
      <c r="K10" t="s">
        <v>99</v>
      </c>
      <c r="L10" t="s">
        <v>93</v>
      </c>
      <c r="M10" t="s">
        <v>31</v>
      </c>
      <c r="N10" t="s">
        <v>32</v>
      </c>
      <c r="O10" t="s">
        <v>47</v>
      </c>
      <c r="P10">
        <v>16000</v>
      </c>
      <c r="Q10">
        <v>2022</v>
      </c>
      <c r="R10">
        <v>202402</v>
      </c>
      <c r="S10" t="s">
        <v>57</v>
      </c>
      <c r="T10" t="s">
        <v>35</v>
      </c>
    </row>
    <row r="11" spans="1:20">
      <c r="A11" t="s">
        <v>100</v>
      </c>
      <c r="B11" t="s">
        <v>101</v>
      </c>
      <c r="C11" t="s">
        <v>102</v>
      </c>
      <c r="D11" t="s">
        <v>68</v>
      </c>
      <c r="E11" t="s">
        <v>77</v>
      </c>
      <c r="F11" t="s">
        <v>103</v>
      </c>
      <c r="G11">
        <v>45900</v>
      </c>
      <c r="H11" t="s">
        <v>89</v>
      </c>
      <c r="I11" t="s">
        <v>104</v>
      </c>
      <c r="J11" t="s">
        <v>105</v>
      </c>
      <c r="K11" t="s">
        <v>106</v>
      </c>
      <c r="L11" t="s">
        <v>30</v>
      </c>
      <c r="M11" t="s">
        <v>31</v>
      </c>
      <c r="N11" t="s">
        <v>64</v>
      </c>
      <c r="O11" t="s">
        <v>73</v>
      </c>
      <c r="P11">
        <v>24000</v>
      </c>
      <c r="Q11">
        <v>2021</v>
      </c>
      <c r="R11">
        <v>202403</v>
      </c>
      <c r="S11" t="s">
        <v>107</v>
      </c>
      <c r="T11" t="s">
        <v>35</v>
      </c>
    </row>
    <row r="12" spans="1:20">
      <c r="A12" t="s">
        <v>108</v>
      </c>
      <c r="B12" t="s">
        <v>109</v>
      </c>
      <c r="C12" t="s">
        <v>110</v>
      </c>
      <c r="D12" t="s">
        <v>23</v>
      </c>
      <c r="E12" t="s">
        <v>51</v>
      </c>
      <c r="F12" t="s">
        <v>103</v>
      </c>
      <c r="G12">
        <v>89500</v>
      </c>
      <c r="H12" t="s">
        <v>111</v>
      </c>
      <c r="I12" t="s">
        <v>112</v>
      </c>
      <c r="J12" t="s">
        <v>113</v>
      </c>
      <c r="K12" t="s">
        <v>114</v>
      </c>
      <c r="L12" t="s">
        <v>44</v>
      </c>
      <c r="M12" t="s">
        <v>115</v>
      </c>
      <c r="O12" t="s">
        <v>65</v>
      </c>
      <c r="P12">
        <v>8000</v>
      </c>
      <c r="Q12">
        <v>2023</v>
      </c>
      <c r="R12">
        <v>202403</v>
      </c>
      <c r="S12" t="s">
        <v>107</v>
      </c>
      <c r="T12" t="s">
        <v>35</v>
      </c>
    </row>
    <row r="13" spans="1:20">
      <c r="A13" t="s">
        <v>116</v>
      </c>
      <c r="B13" t="s">
        <v>21</v>
      </c>
      <c r="C13" t="s">
        <v>117</v>
      </c>
      <c r="D13" t="s">
        <v>23</v>
      </c>
      <c r="E13" t="s">
        <v>51</v>
      </c>
      <c r="F13" t="s">
        <v>25</v>
      </c>
      <c r="G13">
        <v>28900</v>
      </c>
      <c r="H13" t="s">
        <v>52</v>
      </c>
      <c r="I13" t="s">
        <v>118</v>
      </c>
      <c r="J13" t="s">
        <v>119</v>
      </c>
      <c r="K13" t="s">
        <v>120</v>
      </c>
      <c r="L13" t="s">
        <v>30</v>
      </c>
      <c r="M13" t="s">
        <v>31</v>
      </c>
      <c r="N13" t="s">
        <v>32</v>
      </c>
      <c r="O13" t="s">
        <v>56</v>
      </c>
      <c r="P13">
        <v>19000</v>
      </c>
      <c r="Q13">
        <v>2021</v>
      </c>
      <c r="R13">
        <v>202403</v>
      </c>
      <c r="S13" t="s">
        <v>107</v>
      </c>
      <c r="T13" t="s">
        <v>35</v>
      </c>
    </row>
    <row r="14" spans="1:20">
      <c r="A14" t="s">
        <v>36</v>
      </c>
      <c r="B14" t="s">
        <v>37</v>
      </c>
      <c r="C14" t="s">
        <v>38</v>
      </c>
      <c r="D14" t="s">
        <v>23</v>
      </c>
      <c r="E14" t="s">
        <v>24</v>
      </c>
      <c r="F14" t="s">
        <v>25</v>
      </c>
      <c r="G14">
        <v>23200</v>
      </c>
      <c r="H14" t="s">
        <v>26</v>
      </c>
      <c r="I14" t="s">
        <v>41</v>
      </c>
      <c r="J14" t="s">
        <v>42</v>
      </c>
      <c r="K14" t="s">
        <v>43</v>
      </c>
      <c r="L14" t="s">
        <v>44</v>
      </c>
      <c r="M14" t="s">
        <v>31</v>
      </c>
      <c r="N14" t="s">
        <v>46</v>
      </c>
      <c r="O14" t="s">
        <v>47</v>
      </c>
      <c r="P14">
        <v>8500</v>
      </c>
      <c r="Q14">
        <v>2022</v>
      </c>
      <c r="R14">
        <v>202403</v>
      </c>
      <c r="S14" t="s">
        <v>107</v>
      </c>
      <c r="T14" t="s">
        <v>35</v>
      </c>
    </row>
    <row r="15" spans="1:20">
      <c r="A15" t="s">
        <v>121</v>
      </c>
      <c r="B15" t="s">
        <v>37</v>
      </c>
      <c r="C15" t="s">
        <v>122</v>
      </c>
      <c r="D15" t="s">
        <v>23</v>
      </c>
      <c r="E15" t="s">
        <v>51</v>
      </c>
      <c r="F15" t="s">
        <v>25</v>
      </c>
      <c r="G15">
        <v>31200</v>
      </c>
      <c r="H15" t="s">
        <v>52</v>
      </c>
      <c r="I15" t="s">
        <v>123</v>
      </c>
      <c r="J15" t="s">
        <v>124</v>
      </c>
      <c r="K15" t="s">
        <v>43</v>
      </c>
      <c r="L15" t="s">
        <v>44</v>
      </c>
      <c r="M15" t="s">
        <v>125</v>
      </c>
      <c r="N15" t="s">
        <v>55</v>
      </c>
      <c r="O15" t="s">
        <v>33</v>
      </c>
      <c r="P15">
        <v>14000</v>
      </c>
      <c r="Q15">
        <v>2022</v>
      </c>
      <c r="R15">
        <v>202403</v>
      </c>
      <c r="S15" t="s">
        <v>107</v>
      </c>
      <c r="T15" t="s">
        <v>35</v>
      </c>
    </row>
    <row r="16" spans="1:20">
      <c r="A16" t="s">
        <v>126</v>
      </c>
      <c r="B16" t="s">
        <v>49</v>
      </c>
      <c r="C16" t="s">
        <v>50</v>
      </c>
      <c r="D16" t="s">
        <v>23</v>
      </c>
      <c r="E16" t="s">
        <v>51</v>
      </c>
      <c r="F16" t="s">
        <v>25</v>
      </c>
      <c r="G16">
        <v>27500</v>
      </c>
      <c r="H16" t="s">
        <v>52</v>
      </c>
      <c r="I16" t="s">
        <v>127</v>
      </c>
      <c r="J16" t="s">
        <v>128</v>
      </c>
      <c r="K16" t="s">
        <v>129</v>
      </c>
      <c r="L16" t="s">
        <v>81</v>
      </c>
      <c r="M16" t="s">
        <v>31</v>
      </c>
      <c r="N16" t="s">
        <v>55</v>
      </c>
      <c r="P16">
        <v>26000</v>
      </c>
      <c r="Q16">
        <v>2020</v>
      </c>
      <c r="R16">
        <v>202403</v>
      </c>
      <c r="S16" t="s">
        <v>107</v>
      </c>
      <c r="T16" t="s">
        <v>35</v>
      </c>
    </row>
    <row r="17" spans="1:20">
      <c r="A17" t="s">
        <v>130</v>
      </c>
      <c r="B17" t="s">
        <v>59</v>
      </c>
      <c r="C17" t="s">
        <v>131</v>
      </c>
      <c r="D17" t="s">
        <v>68</v>
      </c>
      <c r="E17" t="s">
        <v>69</v>
      </c>
      <c r="F17" t="s">
        <v>25</v>
      </c>
      <c r="G17">
        <v>35800</v>
      </c>
      <c r="H17" t="s">
        <v>52</v>
      </c>
      <c r="I17" t="s">
        <v>132</v>
      </c>
      <c r="J17" t="s">
        <v>133</v>
      </c>
      <c r="K17" t="s">
        <v>63</v>
      </c>
      <c r="L17" t="s">
        <v>44</v>
      </c>
      <c r="M17" t="s">
        <v>31</v>
      </c>
      <c r="N17" t="s">
        <v>72</v>
      </c>
      <c r="O17" t="s">
        <v>47</v>
      </c>
      <c r="P17">
        <v>31000</v>
      </c>
      <c r="Q17">
        <v>2019</v>
      </c>
      <c r="R17">
        <v>202403</v>
      </c>
      <c r="S17" t="s">
        <v>107</v>
      </c>
      <c r="T17" t="s">
        <v>35</v>
      </c>
    </row>
    <row r="18" spans="1:20">
      <c r="A18" t="s">
        <v>134</v>
      </c>
      <c r="B18" t="s">
        <v>75</v>
      </c>
      <c r="C18" t="s">
        <v>76</v>
      </c>
      <c r="D18" t="s">
        <v>68</v>
      </c>
      <c r="E18" t="s">
        <v>77</v>
      </c>
      <c r="F18" t="s">
        <v>25</v>
      </c>
      <c r="G18">
        <v>41200</v>
      </c>
      <c r="H18" t="s">
        <v>89</v>
      </c>
      <c r="I18" t="s">
        <v>135</v>
      </c>
      <c r="J18" t="s">
        <v>136</v>
      </c>
      <c r="K18" t="s">
        <v>137</v>
      </c>
      <c r="L18" t="s">
        <v>81</v>
      </c>
      <c r="M18" t="s">
        <v>31</v>
      </c>
      <c r="N18" t="s">
        <v>82</v>
      </c>
      <c r="O18" t="s">
        <v>73</v>
      </c>
      <c r="P18">
        <v>29000</v>
      </c>
      <c r="Q18">
        <v>2020</v>
      </c>
      <c r="R18">
        <v>202403</v>
      </c>
      <c r="S18" t="s">
        <v>107</v>
      </c>
      <c r="T18" t="s">
        <v>35</v>
      </c>
    </row>
    <row r="19" spans="1:20">
      <c r="A19" t="s">
        <v>138</v>
      </c>
      <c r="B19" t="s">
        <v>85</v>
      </c>
      <c r="C19" t="s">
        <v>86</v>
      </c>
      <c r="D19" t="s">
        <v>87</v>
      </c>
      <c r="E19" t="s">
        <v>88</v>
      </c>
      <c r="F19" t="s">
        <v>25</v>
      </c>
      <c r="G19">
        <v>44500</v>
      </c>
      <c r="H19" t="s">
        <v>89</v>
      </c>
      <c r="I19" t="s">
        <v>139</v>
      </c>
      <c r="J19" t="s">
        <v>140</v>
      </c>
      <c r="K19" t="s">
        <v>92</v>
      </c>
      <c r="L19" t="s">
        <v>93</v>
      </c>
      <c r="M19" t="s">
        <v>31</v>
      </c>
      <c r="N19" t="s">
        <v>94</v>
      </c>
      <c r="O19" t="s">
        <v>65</v>
      </c>
      <c r="P19">
        <v>21000</v>
      </c>
      <c r="Q19">
        <v>2021</v>
      </c>
      <c r="R19">
        <v>202403</v>
      </c>
      <c r="S19" t="s">
        <v>107</v>
      </c>
      <c r="T19" t="s">
        <v>35</v>
      </c>
    </row>
    <row r="20" spans="1:20">
      <c r="A20" t="s">
        <v>141</v>
      </c>
      <c r="B20" t="s">
        <v>96</v>
      </c>
      <c r="C20" t="s">
        <v>142</v>
      </c>
      <c r="D20" t="s">
        <v>23</v>
      </c>
      <c r="E20" t="s">
        <v>24</v>
      </c>
      <c r="F20" t="s">
        <v>25</v>
      </c>
      <c r="G20">
        <v>24800</v>
      </c>
      <c r="H20" t="s">
        <v>26</v>
      </c>
      <c r="I20" t="s">
        <v>143</v>
      </c>
      <c r="J20" t="s">
        <v>144</v>
      </c>
      <c r="K20" t="s">
        <v>99</v>
      </c>
      <c r="L20" t="s">
        <v>93</v>
      </c>
      <c r="M20" t="s">
        <v>31</v>
      </c>
      <c r="N20" t="s">
        <v>145</v>
      </c>
      <c r="O20" t="s">
        <v>56</v>
      </c>
      <c r="P20">
        <v>17000</v>
      </c>
      <c r="Q20">
        <v>2022</v>
      </c>
      <c r="R20">
        <v>202404</v>
      </c>
      <c r="S20" t="s">
        <v>146</v>
      </c>
      <c r="T20" t="s">
        <v>147</v>
      </c>
    </row>
    <row r="21" spans="1:20">
      <c r="A21" t="s">
        <v>148</v>
      </c>
      <c r="B21" t="s">
        <v>101</v>
      </c>
      <c r="C21" t="s">
        <v>149</v>
      </c>
      <c r="D21" t="s">
        <v>68</v>
      </c>
      <c r="E21" t="s">
        <v>77</v>
      </c>
      <c r="F21" t="s">
        <v>103</v>
      </c>
      <c r="G21">
        <v>59900</v>
      </c>
      <c r="H21" t="s">
        <v>89</v>
      </c>
      <c r="I21" t="s">
        <v>150</v>
      </c>
      <c r="J21" t="s">
        <v>151</v>
      </c>
      <c r="K21" t="s">
        <v>106</v>
      </c>
      <c r="L21" t="s">
        <v>30</v>
      </c>
      <c r="M21" t="s">
        <v>45</v>
      </c>
      <c r="N21" t="s">
        <v>152</v>
      </c>
      <c r="O21" t="s">
        <v>83</v>
      </c>
      <c r="P21">
        <v>32000</v>
      </c>
      <c r="Q21">
        <v>2020</v>
      </c>
      <c r="R21">
        <v>202404</v>
      </c>
      <c r="S21" t="s">
        <v>146</v>
      </c>
      <c r="T21" t="s">
        <v>147</v>
      </c>
    </row>
    <row r="22" spans="1:20">
      <c r="A22" t="s">
        <v>153</v>
      </c>
      <c r="B22" t="s">
        <v>109</v>
      </c>
      <c r="C22" t="s">
        <v>154</v>
      </c>
      <c r="D22" t="s">
        <v>23</v>
      </c>
      <c r="E22" t="s">
        <v>51</v>
      </c>
      <c r="F22" t="s">
        <v>103</v>
      </c>
      <c r="G22">
        <v>52900</v>
      </c>
      <c r="H22" t="s">
        <v>89</v>
      </c>
      <c r="I22" t="s">
        <v>155</v>
      </c>
      <c r="J22" t="s">
        <v>156</v>
      </c>
      <c r="K22" t="s">
        <v>114</v>
      </c>
      <c r="L22" t="s">
        <v>44</v>
      </c>
      <c r="M22" t="s">
        <v>115</v>
      </c>
      <c r="O22" t="s">
        <v>47</v>
      </c>
      <c r="P22">
        <v>12000</v>
      </c>
      <c r="Q22">
        <v>2023</v>
      </c>
      <c r="R22">
        <v>202404</v>
      </c>
      <c r="S22" t="s">
        <v>146</v>
      </c>
      <c r="T22" t="s">
        <v>147</v>
      </c>
    </row>
    <row r="23" spans="1:20">
      <c r="A23" t="s">
        <v>157</v>
      </c>
      <c r="B23" t="s">
        <v>21</v>
      </c>
      <c r="C23" t="s">
        <v>117</v>
      </c>
      <c r="D23" t="s">
        <v>23</v>
      </c>
      <c r="E23" t="s">
        <v>51</v>
      </c>
      <c r="F23" t="s">
        <v>25</v>
      </c>
      <c r="G23">
        <v>29800</v>
      </c>
      <c r="H23" t="s">
        <v>52</v>
      </c>
      <c r="I23" t="s">
        <v>158</v>
      </c>
      <c r="J23" t="s">
        <v>159</v>
      </c>
      <c r="K23" t="s">
        <v>29</v>
      </c>
      <c r="L23" t="s">
        <v>30</v>
      </c>
      <c r="M23" t="s">
        <v>31</v>
      </c>
      <c r="N23" t="s">
        <v>32</v>
      </c>
      <c r="O23" t="s">
        <v>73</v>
      </c>
      <c r="P23">
        <v>22000</v>
      </c>
      <c r="Q23">
        <v>2021</v>
      </c>
      <c r="R23">
        <v>202404</v>
      </c>
      <c r="S23" t="s">
        <v>146</v>
      </c>
      <c r="T23" t="s">
        <v>147</v>
      </c>
    </row>
    <row r="24" spans="1:20">
      <c r="A24" t="s">
        <v>160</v>
      </c>
      <c r="B24" t="s">
        <v>37</v>
      </c>
      <c r="C24" t="s">
        <v>161</v>
      </c>
      <c r="D24" t="s">
        <v>23</v>
      </c>
      <c r="E24" t="s">
        <v>51</v>
      </c>
      <c r="F24" t="s">
        <v>25</v>
      </c>
      <c r="G24">
        <v>29500</v>
      </c>
      <c r="H24" t="s">
        <v>52</v>
      </c>
      <c r="I24" t="s">
        <v>162</v>
      </c>
      <c r="J24" t="s">
        <v>163</v>
      </c>
      <c r="K24" t="s">
        <v>164</v>
      </c>
      <c r="L24" t="s">
        <v>44</v>
      </c>
      <c r="M24" t="s">
        <v>125</v>
      </c>
      <c r="N24" t="s">
        <v>46</v>
      </c>
      <c r="O24" t="s">
        <v>33</v>
      </c>
      <c r="P24">
        <v>9000</v>
      </c>
      <c r="Q24">
        <v>2023</v>
      </c>
      <c r="R24">
        <v>202404</v>
      </c>
      <c r="S24" t="s">
        <v>146</v>
      </c>
      <c r="T24" t="s">
        <v>147</v>
      </c>
    </row>
    <row r="25" spans="1:20">
      <c r="A25" t="s">
        <v>165</v>
      </c>
      <c r="B25" t="s">
        <v>49</v>
      </c>
      <c r="C25" t="s">
        <v>166</v>
      </c>
      <c r="D25" t="s">
        <v>23</v>
      </c>
      <c r="E25" t="s">
        <v>24</v>
      </c>
      <c r="F25" t="s">
        <v>25</v>
      </c>
      <c r="G25">
        <v>24500</v>
      </c>
      <c r="H25" t="s">
        <v>26</v>
      </c>
      <c r="I25" t="s">
        <v>167</v>
      </c>
      <c r="J25" t="s">
        <v>168</v>
      </c>
      <c r="K25" t="s">
        <v>129</v>
      </c>
      <c r="L25" t="s">
        <v>81</v>
      </c>
      <c r="M25" t="s">
        <v>31</v>
      </c>
      <c r="N25" t="s">
        <v>169</v>
      </c>
      <c r="O25" t="s">
        <v>65</v>
      </c>
      <c r="P25">
        <v>18000</v>
      </c>
      <c r="R25">
        <v>202404</v>
      </c>
      <c r="S25" t="s">
        <v>146</v>
      </c>
      <c r="T25" t="s">
        <v>147</v>
      </c>
    </row>
    <row r="26" spans="1:20">
      <c r="A26" t="s">
        <v>170</v>
      </c>
      <c r="B26" t="s">
        <v>59</v>
      </c>
      <c r="C26" t="s">
        <v>67</v>
      </c>
      <c r="D26" t="s">
        <v>68</v>
      </c>
      <c r="E26" t="s">
        <v>69</v>
      </c>
      <c r="F26" t="s">
        <v>25</v>
      </c>
      <c r="G26">
        <v>32500</v>
      </c>
      <c r="H26" t="s">
        <v>52</v>
      </c>
      <c r="I26" t="s">
        <v>171</v>
      </c>
      <c r="J26" t="s">
        <v>172</v>
      </c>
      <c r="K26" t="s">
        <v>63</v>
      </c>
      <c r="L26" t="s">
        <v>44</v>
      </c>
      <c r="M26" t="s">
        <v>31</v>
      </c>
      <c r="N26" t="s">
        <v>72</v>
      </c>
      <c r="O26" t="s">
        <v>56</v>
      </c>
      <c r="P26">
        <v>27000</v>
      </c>
      <c r="Q26">
        <v>2020</v>
      </c>
      <c r="R26">
        <v>202404</v>
      </c>
      <c r="S26" t="s">
        <v>146</v>
      </c>
      <c r="T26" t="s">
        <v>147</v>
      </c>
    </row>
    <row r="27" spans="1:20">
      <c r="A27" t="s">
        <v>173</v>
      </c>
      <c r="B27" t="s">
        <v>75</v>
      </c>
      <c r="C27" t="s">
        <v>174</v>
      </c>
      <c r="D27" t="s">
        <v>68</v>
      </c>
      <c r="E27" t="s">
        <v>77</v>
      </c>
      <c r="F27" t="s">
        <v>25</v>
      </c>
      <c r="G27">
        <v>38900</v>
      </c>
      <c r="H27" t="s">
        <v>52</v>
      </c>
      <c r="I27" t="s">
        <v>175</v>
      </c>
      <c r="J27" t="s">
        <v>176</v>
      </c>
      <c r="K27" t="s">
        <v>80</v>
      </c>
      <c r="L27" t="s">
        <v>81</v>
      </c>
      <c r="M27" t="s">
        <v>31</v>
      </c>
      <c r="N27" t="s">
        <v>82</v>
      </c>
      <c r="O27" t="s">
        <v>177</v>
      </c>
      <c r="P27">
        <v>15000</v>
      </c>
      <c r="Q27">
        <v>2022</v>
      </c>
      <c r="R27">
        <v>202404</v>
      </c>
      <c r="S27" t="s">
        <v>146</v>
      </c>
      <c r="T27" t="s">
        <v>147</v>
      </c>
    </row>
    <row r="28" spans="1:20">
      <c r="A28" t="s">
        <v>178</v>
      </c>
      <c r="B28" t="s">
        <v>85</v>
      </c>
      <c r="C28" t="s">
        <v>179</v>
      </c>
      <c r="D28" t="s">
        <v>68</v>
      </c>
      <c r="E28" t="s">
        <v>77</v>
      </c>
      <c r="F28" t="s">
        <v>25</v>
      </c>
      <c r="G28">
        <v>36800</v>
      </c>
      <c r="H28" t="s">
        <v>52</v>
      </c>
      <c r="I28" t="s">
        <v>180</v>
      </c>
      <c r="J28" t="s">
        <v>181</v>
      </c>
      <c r="K28" t="s">
        <v>92</v>
      </c>
      <c r="L28" t="s">
        <v>93</v>
      </c>
      <c r="M28" t="s">
        <v>31</v>
      </c>
      <c r="N28" t="s">
        <v>182</v>
      </c>
      <c r="O28" t="s">
        <v>33</v>
      </c>
      <c r="P28">
        <v>25000</v>
      </c>
      <c r="Q28">
        <v>2021</v>
      </c>
      <c r="R28">
        <v>202404</v>
      </c>
      <c r="S28" t="s">
        <v>146</v>
      </c>
      <c r="T28" t="s">
        <v>147</v>
      </c>
    </row>
    <row r="29" spans="1:20">
      <c r="A29" t="s">
        <v>183</v>
      </c>
      <c r="B29" t="s">
        <v>96</v>
      </c>
      <c r="C29" t="s">
        <v>184</v>
      </c>
      <c r="D29" t="s">
        <v>68</v>
      </c>
      <c r="E29" t="s">
        <v>69</v>
      </c>
      <c r="F29" t="s">
        <v>25</v>
      </c>
      <c r="G29">
        <v>28900</v>
      </c>
      <c r="H29" t="s">
        <v>52</v>
      </c>
      <c r="I29" t="s">
        <v>185</v>
      </c>
      <c r="J29" t="s">
        <v>186</v>
      </c>
      <c r="K29" t="s">
        <v>187</v>
      </c>
      <c r="L29" t="s">
        <v>93</v>
      </c>
      <c r="M29" t="s">
        <v>31</v>
      </c>
      <c r="N29" t="s">
        <v>32</v>
      </c>
      <c r="O29" t="s">
        <v>47</v>
      </c>
      <c r="P29">
        <v>20000</v>
      </c>
      <c r="Q29">
        <v>2022</v>
      </c>
      <c r="R29">
        <v>202404</v>
      </c>
      <c r="S29" t="s">
        <v>146</v>
      </c>
      <c r="T29" t="s">
        <v>147</v>
      </c>
    </row>
    <row r="30" spans="1:20">
      <c r="A30" t="s">
        <v>188</v>
      </c>
      <c r="B30" t="s">
        <v>101</v>
      </c>
      <c r="C30" t="s">
        <v>189</v>
      </c>
      <c r="D30" t="s">
        <v>23</v>
      </c>
      <c r="E30" t="s">
        <v>51</v>
      </c>
      <c r="F30" t="s">
        <v>103</v>
      </c>
      <c r="G30">
        <v>42900</v>
      </c>
      <c r="H30" t="s">
        <v>89</v>
      </c>
      <c r="I30" t="s">
        <v>190</v>
      </c>
      <c r="J30" t="s">
        <v>136</v>
      </c>
      <c r="K30" t="s">
        <v>106</v>
      </c>
      <c r="L30" t="s">
        <v>30</v>
      </c>
      <c r="M30" t="s">
        <v>31</v>
      </c>
      <c r="N30" t="s">
        <v>64</v>
      </c>
      <c r="O30" t="s">
        <v>73</v>
      </c>
      <c r="P30">
        <v>28000</v>
      </c>
      <c r="Q30">
        <v>2020</v>
      </c>
      <c r="R30">
        <v>202405</v>
      </c>
      <c r="S30" t="s">
        <v>191</v>
      </c>
      <c r="T30" t="s">
        <v>147</v>
      </c>
    </row>
    <row r="31" spans="1:20">
      <c r="A31" t="s">
        <v>192</v>
      </c>
      <c r="B31" t="s">
        <v>109</v>
      </c>
      <c r="C31" t="s">
        <v>193</v>
      </c>
      <c r="D31" t="s">
        <v>68</v>
      </c>
      <c r="E31" t="s">
        <v>77</v>
      </c>
      <c r="F31" t="s">
        <v>103</v>
      </c>
      <c r="G31">
        <v>58900</v>
      </c>
      <c r="H31" t="s">
        <v>89</v>
      </c>
      <c r="I31" t="s">
        <v>194</v>
      </c>
      <c r="J31" t="s">
        <v>140</v>
      </c>
      <c r="K31" t="s">
        <v>114</v>
      </c>
      <c r="L31" t="s">
        <v>44</v>
      </c>
      <c r="M31" t="s">
        <v>115</v>
      </c>
      <c r="O31" t="s">
        <v>83</v>
      </c>
      <c r="P31">
        <v>6000</v>
      </c>
      <c r="Q31">
        <v>2024</v>
      </c>
      <c r="R31">
        <v>202405</v>
      </c>
      <c r="S31" t="s">
        <v>191</v>
      </c>
      <c r="T31" t="s">
        <v>147</v>
      </c>
    </row>
    <row r="32" spans="1:20">
      <c r="A32" t="s">
        <v>195</v>
      </c>
      <c r="B32" t="s">
        <v>21</v>
      </c>
      <c r="C32" t="s">
        <v>196</v>
      </c>
      <c r="D32" t="s">
        <v>68</v>
      </c>
      <c r="E32" t="s">
        <v>69</v>
      </c>
      <c r="F32" t="s">
        <v>25</v>
      </c>
      <c r="G32">
        <v>33500</v>
      </c>
      <c r="H32" t="s">
        <v>52</v>
      </c>
      <c r="I32" t="s">
        <v>197</v>
      </c>
      <c r="J32" t="s">
        <v>198</v>
      </c>
      <c r="K32" t="s">
        <v>29</v>
      </c>
      <c r="L32" t="s">
        <v>30</v>
      </c>
      <c r="M32" t="s">
        <v>31</v>
      </c>
      <c r="N32" t="s">
        <v>32</v>
      </c>
      <c r="O32" t="s">
        <v>65</v>
      </c>
      <c r="P32">
        <v>16000</v>
      </c>
      <c r="Q32">
        <v>2022</v>
      </c>
      <c r="R32">
        <v>202405</v>
      </c>
      <c r="S32" t="s">
        <v>191</v>
      </c>
      <c r="T32" t="s">
        <v>147</v>
      </c>
    </row>
    <row r="33" spans="1:20">
      <c r="A33" t="s">
        <v>199</v>
      </c>
      <c r="B33" t="s">
        <v>37</v>
      </c>
      <c r="C33" t="s">
        <v>200</v>
      </c>
      <c r="D33" t="s">
        <v>68</v>
      </c>
      <c r="E33" t="s">
        <v>69</v>
      </c>
      <c r="F33" t="s">
        <v>25</v>
      </c>
      <c r="G33">
        <v>35800</v>
      </c>
      <c r="H33" t="s">
        <v>52</v>
      </c>
      <c r="I33" t="s">
        <v>201</v>
      </c>
      <c r="J33" t="s">
        <v>202</v>
      </c>
      <c r="K33" t="s">
        <v>43</v>
      </c>
      <c r="L33" t="s">
        <v>44</v>
      </c>
      <c r="M33" t="s">
        <v>31</v>
      </c>
      <c r="N33" t="s">
        <v>55</v>
      </c>
      <c r="O33" t="s">
        <v>56</v>
      </c>
      <c r="P33">
        <v>11000</v>
      </c>
      <c r="Q33">
        <v>2023</v>
      </c>
      <c r="R33">
        <v>202405</v>
      </c>
      <c r="S33" t="s">
        <v>191</v>
      </c>
      <c r="T33" t="s">
        <v>147</v>
      </c>
    </row>
    <row r="34" spans="1:20">
      <c r="A34" t="s">
        <v>203</v>
      </c>
      <c r="B34" t="s">
        <v>49</v>
      </c>
      <c r="C34" t="s">
        <v>204</v>
      </c>
      <c r="D34" t="s">
        <v>68</v>
      </c>
      <c r="E34" t="s">
        <v>69</v>
      </c>
      <c r="F34" t="s">
        <v>25</v>
      </c>
      <c r="G34">
        <v>29800</v>
      </c>
      <c r="H34" t="s">
        <v>52</v>
      </c>
      <c r="I34" t="s">
        <v>205</v>
      </c>
      <c r="J34" t="s">
        <v>105</v>
      </c>
      <c r="K34" t="s">
        <v>206</v>
      </c>
      <c r="L34" t="s">
        <v>81</v>
      </c>
      <c r="M34" t="s">
        <v>31</v>
      </c>
      <c r="N34" t="s">
        <v>55</v>
      </c>
      <c r="O34" t="s">
        <v>33</v>
      </c>
      <c r="P34">
        <v>24000</v>
      </c>
      <c r="Q34">
        <v>2021</v>
      </c>
      <c r="R34">
        <v>202405</v>
      </c>
      <c r="S34" t="s">
        <v>191</v>
      </c>
      <c r="T34" t="s">
        <v>147</v>
      </c>
    </row>
    <row r="35" spans="1:20">
      <c r="A35" t="s">
        <v>207</v>
      </c>
      <c r="B35" t="s">
        <v>59</v>
      </c>
      <c r="C35" t="s">
        <v>208</v>
      </c>
      <c r="D35" t="s">
        <v>23</v>
      </c>
      <c r="E35" t="s">
        <v>51</v>
      </c>
      <c r="F35" t="s">
        <v>25</v>
      </c>
      <c r="G35">
        <v>26500</v>
      </c>
      <c r="H35" t="s">
        <v>52</v>
      </c>
      <c r="I35" t="s">
        <v>209</v>
      </c>
      <c r="J35" t="s">
        <v>210</v>
      </c>
      <c r="K35" t="s">
        <v>63</v>
      </c>
      <c r="L35" t="s">
        <v>44</v>
      </c>
      <c r="M35" t="s">
        <v>31</v>
      </c>
      <c r="N35" t="s">
        <v>55</v>
      </c>
      <c r="O35" t="s">
        <v>73</v>
      </c>
      <c r="P35">
        <v>19000</v>
      </c>
      <c r="Q35">
        <v>2022</v>
      </c>
      <c r="R35">
        <v>202405</v>
      </c>
      <c r="S35" t="s">
        <v>191</v>
      </c>
      <c r="T35" t="s">
        <v>147</v>
      </c>
    </row>
    <row r="36" spans="1:20">
      <c r="A36" t="s">
        <v>211</v>
      </c>
      <c r="B36" t="s">
        <v>75</v>
      </c>
      <c r="C36" t="s">
        <v>212</v>
      </c>
      <c r="D36" t="s">
        <v>68</v>
      </c>
      <c r="E36" t="s">
        <v>77</v>
      </c>
      <c r="F36" t="s">
        <v>25</v>
      </c>
      <c r="G36">
        <v>27900</v>
      </c>
      <c r="H36" t="s">
        <v>52</v>
      </c>
      <c r="I36" t="s">
        <v>213</v>
      </c>
      <c r="J36" t="s">
        <v>214</v>
      </c>
      <c r="K36" t="s">
        <v>80</v>
      </c>
      <c r="L36" t="s">
        <v>81</v>
      </c>
      <c r="M36" t="s">
        <v>45</v>
      </c>
      <c r="N36" t="s">
        <v>72</v>
      </c>
      <c r="O36" t="s">
        <v>47</v>
      </c>
      <c r="P36">
        <v>22000</v>
      </c>
      <c r="Q36">
        <v>2021</v>
      </c>
      <c r="R36">
        <v>202405</v>
      </c>
      <c r="S36" t="s">
        <v>191</v>
      </c>
      <c r="T36" t="s">
        <v>147</v>
      </c>
    </row>
    <row r="37" spans="1:20">
      <c r="A37" t="s">
        <v>215</v>
      </c>
      <c r="B37" t="s">
        <v>85</v>
      </c>
      <c r="C37" t="s">
        <v>216</v>
      </c>
      <c r="D37" t="s">
        <v>68</v>
      </c>
      <c r="E37" t="s">
        <v>69</v>
      </c>
      <c r="F37" t="s">
        <v>25</v>
      </c>
      <c r="G37">
        <v>30200</v>
      </c>
      <c r="H37" t="s">
        <v>52</v>
      </c>
      <c r="I37" t="s">
        <v>217</v>
      </c>
      <c r="J37" t="s">
        <v>218</v>
      </c>
      <c r="K37" t="s">
        <v>92</v>
      </c>
      <c r="L37" t="s">
        <v>93</v>
      </c>
      <c r="M37" t="s">
        <v>31</v>
      </c>
      <c r="N37" t="s">
        <v>32</v>
      </c>
      <c r="O37" t="s">
        <v>83</v>
      </c>
      <c r="P37">
        <v>17000</v>
      </c>
      <c r="Q37">
        <v>2022</v>
      </c>
      <c r="R37">
        <v>202405</v>
      </c>
      <c r="S37" t="s">
        <v>191</v>
      </c>
      <c r="T37" t="s">
        <v>147</v>
      </c>
    </row>
    <row r="38" spans="1:20">
      <c r="A38" t="s">
        <v>219</v>
      </c>
      <c r="B38" t="s">
        <v>96</v>
      </c>
      <c r="C38" t="s">
        <v>220</v>
      </c>
      <c r="D38" t="s">
        <v>68</v>
      </c>
      <c r="E38" t="s">
        <v>77</v>
      </c>
      <c r="F38" t="s">
        <v>25</v>
      </c>
      <c r="G38">
        <v>39500</v>
      </c>
      <c r="H38" t="s">
        <v>52</v>
      </c>
      <c r="I38" t="s">
        <v>221</v>
      </c>
      <c r="J38" t="s">
        <v>79</v>
      </c>
      <c r="K38" t="s">
        <v>99</v>
      </c>
      <c r="L38" t="s">
        <v>93</v>
      </c>
      <c r="M38" t="s">
        <v>31</v>
      </c>
      <c r="N38" t="s">
        <v>82</v>
      </c>
      <c r="O38" t="s">
        <v>33</v>
      </c>
      <c r="P38">
        <v>26000</v>
      </c>
      <c r="Q38">
        <v>2020</v>
      </c>
      <c r="R38">
        <v>202405</v>
      </c>
      <c r="S38" t="s">
        <v>191</v>
      </c>
      <c r="T38" t="s">
        <v>147</v>
      </c>
    </row>
    <row r="39" spans="1:20">
      <c r="A39" t="s">
        <v>222</v>
      </c>
      <c r="B39" t="s">
        <v>101</v>
      </c>
      <c r="C39" t="s">
        <v>223</v>
      </c>
      <c r="D39" t="s">
        <v>68</v>
      </c>
      <c r="E39" t="s">
        <v>77</v>
      </c>
      <c r="F39" t="s">
        <v>103</v>
      </c>
      <c r="G39">
        <v>38900</v>
      </c>
      <c r="H39" t="s">
        <v>52</v>
      </c>
      <c r="I39" t="s">
        <v>224</v>
      </c>
      <c r="J39" t="s">
        <v>225</v>
      </c>
      <c r="K39" t="s">
        <v>106</v>
      </c>
      <c r="L39" t="s">
        <v>30</v>
      </c>
      <c r="M39" t="s">
        <v>31</v>
      </c>
      <c r="N39" t="s">
        <v>64</v>
      </c>
      <c r="O39" t="s">
        <v>56</v>
      </c>
      <c r="P39">
        <v>21000</v>
      </c>
      <c r="Q39">
        <v>2021</v>
      </c>
      <c r="R39">
        <v>202405</v>
      </c>
      <c r="S39" t="s">
        <v>191</v>
      </c>
      <c r="T39" t="s">
        <v>147</v>
      </c>
    </row>
    <row r="40" spans="1:20">
      <c r="A40" t="s">
        <v>226</v>
      </c>
      <c r="B40" t="s">
        <v>109</v>
      </c>
      <c r="C40" t="s">
        <v>227</v>
      </c>
      <c r="D40" t="s">
        <v>68</v>
      </c>
      <c r="E40" t="s">
        <v>77</v>
      </c>
      <c r="F40" t="s">
        <v>103</v>
      </c>
      <c r="G40">
        <v>99900</v>
      </c>
      <c r="H40" t="s">
        <v>228</v>
      </c>
      <c r="I40" t="s">
        <v>229</v>
      </c>
      <c r="J40" t="s">
        <v>230</v>
      </c>
      <c r="K40" t="s">
        <v>231</v>
      </c>
      <c r="L40" t="s">
        <v>44</v>
      </c>
      <c r="M40" t="s">
        <v>115</v>
      </c>
      <c r="O40" t="s">
        <v>47</v>
      </c>
      <c r="P40">
        <v>4000</v>
      </c>
      <c r="Q40">
        <v>2024</v>
      </c>
      <c r="R40">
        <v>202405</v>
      </c>
      <c r="S40" t="s">
        <v>191</v>
      </c>
      <c r="T40" t="s">
        <v>147</v>
      </c>
    </row>
    <row r="41" spans="1:20">
      <c r="A41" t="s">
        <v>232</v>
      </c>
      <c r="B41" t="s">
        <v>21</v>
      </c>
      <c r="C41" t="s">
        <v>233</v>
      </c>
      <c r="D41" t="s">
        <v>68</v>
      </c>
      <c r="E41" t="s">
        <v>77</v>
      </c>
      <c r="F41" t="s">
        <v>25</v>
      </c>
      <c r="G41">
        <v>42500</v>
      </c>
      <c r="H41" t="s">
        <v>89</v>
      </c>
      <c r="I41" t="s">
        <v>234</v>
      </c>
      <c r="J41" t="s">
        <v>235</v>
      </c>
      <c r="K41" t="s">
        <v>29</v>
      </c>
      <c r="L41" t="s">
        <v>30</v>
      </c>
      <c r="M41" t="s">
        <v>31</v>
      </c>
      <c r="N41" t="s">
        <v>236</v>
      </c>
      <c r="O41" t="s">
        <v>73</v>
      </c>
      <c r="P41">
        <v>23000</v>
      </c>
      <c r="Q41">
        <v>2021</v>
      </c>
      <c r="R41">
        <v>202405</v>
      </c>
      <c r="S41" t="s">
        <v>191</v>
      </c>
      <c r="T41" t="s">
        <v>147</v>
      </c>
    </row>
    <row r="42" spans="1:20">
      <c r="A42" t="s">
        <v>237</v>
      </c>
      <c r="B42" t="s">
        <v>37</v>
      </c>
      <c r="C42" t="s">
        <v>238</v>
      </c>
      <c r="D42" t="s">
        <v>68</v>
      </c>
      <c r="E42" t="s">
        <v>77</v>
      </c>
      <c r="F42" t="s">
        <v>25</v>
      </c>
      <c r="G42">
        <v>44800</v>
      </c>
      <c r="H42" t="s">
        <v>89</v>
      </c>
      <c r="I42" t="s">
        <v>239</v>
      </c>
      <c r="J42" t="s">
        <v>240</v>
      </c>
      <c r="K42" t="s">
        <v>43</v>
      </c>
      <c r="L42" t="s">
        <v>44</v>
      </c>
      <c r="M42" t="s">
        <v>31</v>
      </c>
      <c r="N42" t="s">
        <v>236</v>
      </c>
      <c r="O42" t="s">
        <v>83</v>
      </c>
      <c r="P42">
        <v>18000</v>
      </c>
      <c r="Q42">
        <v>2022</v>
      </c>
      <c r="R42">
        <v>202406</v>
      </c>
      <c r="S42" t="s">
        <v>241</v>
      </c>
      <c r="T42" t="s">
        <v>147</v>
      </c>
    </row>
    <row r="43" spans="1:20">
      <c r="A43" t="s">
        <v>242</v>
      </c>
      <c r="B43" t="s">
        <v>49</v>
      </c>
      <c r="C43" t="s">
        <v>243</v>
      </c>
      <c r="D43" t="s">
        <v>68</v>
      </c>
      <c r="E43" t="s">
        <v>77</v>
      </c>
      <c r="F43" t="s">
        <v>25</v>
      </c>
      <c r="G43">
        <v>34500</v>
      </c>
      <c r="H43" t="s">
        <v>52</v>
      </c>
      <c r="I43" t="s">
        <v>244</v>
      </c>
      <c r="J43" t="s">
        <v>245</v>
      </c>
      <c r="K43" t="s">
        <v>129</v>
      </c>
      <c r="L43" t="s">
        <v>81</v>
      </c>
      <c r="M43" t="s">
        <v>31</v>
      </c>
      <c r="N43" t="s">
        <v>236</v>
      </c>
      <c r="O43" t="s">
        <v>65</v>
      </c>
      <c r="P43">
        <v>25000</v>
      </c>
      <c r="Q43">
        <v>2020</v>
      </c>
      <c r="R43">
        <v>202406</v>
      </c>
      <c r="S43" t="s">
        <v>241</v>
      </c>
      <c r="T43" t="s">
        <v>147</v>
      </c>
    </row>
    <row r="44" spans="1:20">
      <c r="A44" t="s">
        <v>246</v>
      </c>
      <c r="B44" t="s">
        <v>59</v>
      </c>
      <c r="C44" t="s">
        <v>247</v>
      </c>
      <c r="D44" t="s">
        <v>23</v>
      </c>
      <c r="E44" t="s">
        <v>51</v>
      </c>
      <c r="F44" t="s">
        <v>25</v>
      </c>
      <c r="G44">
        <v>48900</v>
      </c>
      <c r="H44" t="s">
        <v>89</v>
      </c>
      <c r="I44" t="s">
        <v>248</v>
      </c>
      <c r="J44" t="s">
        <v>249</v>
      </c>
      <c r="K44" t="s">
        <v>250</v>
      </c>
      <c r="L44" t="s">
        <v>44</v>
      </c>
      <c r="M44" t="s">
        <v>31</v>
      </c>
      <c r="N44" t="s">
        <v>251</v>
      </c>
      <c r="O44" t="s">
        <v>33</v>
      </c>
      <c r="P44">
        <v>14000</v>
      </c>
      <c r="Q44">
        <v>2023</v>
      </c>
      <c r="R44">
        <v>202406</v>
      </c>
      <c r="S44" t="s">
        <v>241</v>
      </c>
      <c r="T44" t="s">
        <v>147</v>
      </c>
    </row>
    <row r="45" spans="1:20">
      <c r="A45" t="s">
        <v>252</v>
      </c>
      <c r="B45" t="s">
        <v>75</v>
      </c>
      <c r="C45" t="s">
        <v>253</v>
      </c>
      <c r="D45" t="s">
        <v>68</v>
      </c>
      <c r="E45" t="s">
        <v>77</v>
      </c>
      <c r="F45" t="s">
        <v>25</v>
      </c>
      <c r="G45">
        <v>31800</v>
      </c>
      <c r="H45" t="s">
        <v>52</v>
      </c>
      <c r="I45" t="s">
        <v>254</v>
      </c>
      <c r="J45" t="s">
        <v>255</v>
      </c>
      <c r="K45" t="s">
        <v>80</v>
      </c>
      <c r="L45" t="s">
        <v>81</v>
      </c>
      <c r="M45" t="s">
        <v>31</v>
      </c>
      <c r="N45" t="s">
        <v>72</v>
      </c>
      <c r="O45" t="s">
        <v>56</v>
      </c>
      <c r="P45">
        <v>20000</v>
      </c>
      <c r="Q45">
        <v>2021</v>
      </c>
      <c r="R45">
        <v>202406</v>
      </c>
      <c r="S45" t="s">
        <v>241</v>
      </c>
      <c r="T45" t="s">
        <v>147</v>
      </c>
    </row>
    <row r="46" spans="1:20">
      <c r="A46" t="s">
        <v>256</v>
      </c>
      <c r="B46" t="s">
        <v>85</v>
      </c>
      <c r="C46" t="s">
        <v>257</v>
      </c>
      <c r="D46" t="s">
        <v>258</v>
      </c>
      <c r="E46" t="s">
        <v>259</v>
      </c>
      <c r="F46" t="s">
        <v>25</v>
      </c>
      <c r="G46">
        <v>35900</v>
      </c>
      <c r="H46" t="s">
        <v>52</v>
      </c>
      <c r="I46" t="s">
        <v>260</v>
      </c>
      <c r="J46" t="s">
        <v>261</v>
      </c>
      <c r="K46" t="s">
        <v>92</v>
      </c>
      <c r="L46" t="s">
        <v>93</v>
      </c>
      <c r="M46" t="s">
        <v>31</v>
      </c>
      <c r="N46" t="s">
        <v>182</v>
      </c>
      <c r="O46" t="s">
        <v>65</v>
      </c>
      <c r="P46">
        <v>8000</v>
      </c>
      <c r="Q46">
        <v>2023</v>
      </c>
      <c r="R46">
        <v>202406</v>
      </c>
      <c r="S46" t="s">
        <v>241</v>
      </c>
      <c r="T46" t="s">
        <v>147</v>
      </c>
    </row>
    <row r="47" spans="1:20">
      <c r="A47" t="s">
        <v>262</v>
      </c>
      <c r="B47" t="s">
        <v>96</v>
      </c>
      <c r="C47" t="s">
        <v>263</v>
      </c>
      <c r="D47" t="s">
        <v>258</v>
      </c>
      <c r="E47" t="s">
        <v>259</v>
      </c>
      <c r="F47" t="s">
        <v>25</v>
      </c>
      <c r="G47">
        <v>35901</v>
      </c>
      <c r="H47" t="s">
        <v>52</v>
      </c>
      <c r="I47" t="s">
        <v>260</v>
      </c>
      <c r="J47" t="s">
        <v>261</v>
      </c>
      <c r="K47" t="s">
        <v>92</v>
      </c>
      <c r="L47" t="s">
        <v>93</v>
      </c>
      <c r="M47" t="s">
        <v>31</v>
      </c>
      <c r="N47" t="s">
        <v>182</v>
      </c>
      <c r="O47" t="s">
        <v>65</v>
      </c>
      <c r="P47">
        <v>8000</v>
      </c>
      <c r="Q47">
        <v>2023</v>
      </c>
      <c r="R47">
        <v>202406</v>
      </c>
      <c r="S47" t="s">
        <v>241</v>
      </c>
      <c r="T47" t="s">
        <v>147</v>
      </c>
    </row>
    <row r="48" spans="1:20">
      <c r="A48" t="s">
        <v>264</v>
      </c>
      <c r="B48" t="s">
        <v>101</v>
      </c>
      <c r="C48" t="s">
        <v>265</v>
      </c>
      <c r="D48" t="s">
        <v>258</v>
      </c>
      <c r="E48" t="s">
        <v>266</v>
      </c>
      <c r="F48" t="s">
        <v>103</v>
      </c>
      <c r="G48">
        <v>49900</v>
      </c>
      <c r="H48" t="s">
        <v>89</v>
      </c>
      <c r="I48" t="s">
        <v>267</v>
      </c>
      <c r="J48" t="s">
        <v>268</v>
      </c>
      <c r="K48" t="s">
        <v>106</v>
      </c>
      <c r="L48" t="s">
        <v>30</v>
      </c>
      <c r="M48" t="s">
        <v>31</v>
      </c>
      <c r="N48" t="s">
        <v>64</v>
      </c>
      <c r="O48" t="s">
        <v>73</v>
      </c>
      <c r="P48">
        <v>15000</v>
      </c>
      <c r="Q48">
        <v>2022</v>
      </c>
      <c r="R48">
        <v>202406</v>
      </c>
      <c r="S48" t="s">
        <v>241</v>
      </c>
      <c r="T48" t="s">
        <v>147</v>
      </c>
    </row>
    <row r="49" spans="1:20">
      <c r="A49" t="s">
        <v>269</v>
      </c>
      <c r="B49" t="s">
        <v>21</v>
      </c>
      <c r="C49" t="s">
        <v>270</v>
      </c>
      <c r="D49" t="s">
        <v>87</v>
      </c>
      <c r="E49" t="s">
        <v>88</v>
      </c>
      <c r="F49" t="s">
        <v>25</v>
      </c>
      <c r="G49">
        <v>39800</v>
      </c>
      <c r="H49" t="s">
        <v>52</v>
      </c>
      <c r="I49" t="s">
        <v>271</v>
      </c>
      <c r="J49" t="s">
        <v>272</v>
      </c>
      <c r="K49" t="s">
        <v>120</v>
      </c>
      <c r="L49" t="s">
        <v>30</v>
      </c>
      <c r="M49" t="s">
        <v>31</v>
      </c>
      <c r="N49" t="s">
        <v>236</v>
      </c>
      <c r="O49" t="s">
        <v>47</v>
      </c>
      <c r="P49">
        <v>19000</v>
      </c>
      <c r="Q49">
        <v>2021</v>
      </c>
      <c r="R49">
        <v>202406</v>
      </c>
      <c r="S49" t="s">
        <v>241</v>
      </c>
      <c r="T49" t="s">
        <v>147</v>
      </c>
    </row>
    <row r="50" spans="1:20">
      <c r="A50" t="s">
        <v>273</v>
      </c>
      <c r="B50" t="s">
        <v>37</v>
      </c>
      <c r="C50" t="s">
        <v>274</v>
      </c>
      <c r="D50" t="s">
        <v>87</v>
      </c>
      <c r="E50" t="s">
        <v>88</v>
      </c>
      <c r="F50" t="s">
        <v>25</v>
      </c>
      <c r="G50">
        <v>33500</v>
      </c>
      <c r="H50" t="s">
        <v>52</v>
      </c>
      <c r="I50" t="s">
        <v>275</v>
      </c>
      <c r="J50" t="s">
        <v>276</v>
      </c>
      <c r="K50" t="s">
        <v>43</v>
      </c>
      <c r="L50" t="s">
        <v>44</v>
      </c>
      <c r="M50" t="s">
        <v>31</v>
      </c>
      <c r="N50" t="s">
        <v>277</v>
      </c>
      <c r="O50" t="s">
        <v>83</v>
      </c>
      <c r="P50">
        <v>21000</v>
      </c>
      <c r="Q50">
        <v>2020</v>
      </c>
      <c r="R50">
        <v>202406</v>
      </c>
      <c r="S50" t="s">
        <v>241</v>
      </c>
      <c r="T50" t="s">
        <v>147</v>
      </c>
    </row>
    <row r="51" spans="1:20">
      <c r="A51" t="s">
        <v>278</v>
      </c>
      <c r="B51" t="s">
        <v>49</v>
      </c>
      <c r="C51" t="s">
        <v>279</v>
      </c>
      <c r="D51" t="s">
        <v>87</v>
      </c>
      <c r="E51" t="s">
        <v>88</v>
      </c>
      <c r="F51" t="s">
        <v>25</v>
      </c>
      <c r="G51">
        <v>37900</v>
      </c>
      <c r="H51" t="s">
        <v>52</v>
      </c>
      <c r="I51" t="s">
        <v>280</v>
      </c>
      <c r="J51" t="s">
        <v>281</v>
      </c>
      <c r="K51" t="s">
        <v>129</v>
      </c>
      <c r="L51" t="s">
        <v>81</v>
      </c>
      <c r="M51" t="s">
        <v>45</v>
      </c>
      <c r="N51" t="s">
        <v>282</v>
      </c>
      <c r="O51" t="s">
        <v>33</v>
      </c>
      <c r="P51">
        <v>24000</v>
      </c>
      <c r="Q51">
        <v>2020</v>
      </c>
      <c r="R51">
        <v>202406</v>
      </c>
      <c r="S51" t="s">
        <v>241</v>
      </c>
      <c r="T51" t="s">
        <v>147</v>
      </c>
    </row>
    <row r="52" spans="1:20">
      <c r="A52" t="s">
        <v>283</v>
      </c>
      <c r="B52" t="s">
        <v>85</v>
      </c>
      <c r="C52" t="s">
        <v>284</v>
      </c>
      <c r="D52" t="s">
        <v>87</v>
      </c>
      <c r="E52" t="s">
        <v>88</v>
      </c>
      <c r="F52" t="s">
        <v>25</v>
      </c>
      <c r="G52">
        <v>29800</v>
      </c>
      <c r="H52" t="s">
        <v>52</v>
      </c>
      <c r="I52" t="s">
        <v>285</v>
      </c>
      <c r="J52" t="s">
        <v>286</v>
      </c>
      <c r="K52" t="s">
        <v>92</v>
      </c>
      <c r="L52" t="s">
        <v>93</v>
      </c>
      <c r="M52" t="s">
        <v>31</v>
      </c>
      <c r="N52" t="s">
        <v>182</v>
      </c>
      <c r="O52" t="s">
        <v>73</v>
      </c>
      <c r="P52">
        <v>16000</v>
      </c>
      <c r="Q52">
        <v>2022</v>
      </c>
      <c r="R52">
        <v>202406</v>
      </c>
      <c r="S52" t="s">
        <v>241</v>
      </c>
      <c r="T52" t="s">
        <v>147</v>
      </c>
    </row>
    <row r="53" spans="1:20">
      <c r="A53" t="s">
        <v>287</v>
      </c>
      <c r="B53" t="s">
        <v>96</v>
      </c>
      <c r="C53" t="s">
        <v>288</v>
      </c>
      <c r="D53" t="s">
        <v>87</v>
      </c>
      <c r="E53" t="s">
        <v>88</v>
      </c>
      <c r="F53" t="s">
        <v>25</v>
      </c>
      <c r="G53">
        <v>41200</v>
      </c>
      <c r="H53" t="s">
        <v>89</v>
      </c>
      <c r="I53" t="s">
        <v>289</v>
      </c>
      <c r="J53" t="s">
        <v>290</v>
      </c>
      <c r="K53" t="s">
        <v>99</v>
      </c>
      <c r="L53" t="s">
        <v>93</v>
      </c>
      <c r="M53" t="s">
        <v>31</v>
      </c>
      <c r="N53" t="s">
        <v>291</v>
      </c>
      <c r="O53" t="s">
        <v>65</v>
      </c>
      <c r="P53">
        <v>22000</v>
      </c>
      <c r="Q53">
        <v>2021</v>
      </c>
      <c r="R53">
        <v>202406</v>
      </c>
      <c r="S53" t="s">
        <v>241</v>
      </c>
      <c r="T53" t="s">
        <v>147</v>
      </c>
    </row>
    <row r="54" spans="1:20">
      <c r="A54" t="s">
        <v>292</v>
      </c>
      <c r="B54" t="s">
        <v>109</v>
      </c>
      <c r="C54" t="s">
        <v>293</v>
      </c>
      <c r="D54" t="s">
        <v>87</v>
      </c>
      <c r="E54" t="s">
        <v>88</v>
      </c>
      <c r="F54" t="s">
        <v>103</v>
      </c>
      <c r="G54">
        <v>79900</v>
      </c>
      <c r="H54" t="s">
        <v>111</v>
      </c>
      <c r="I54" t="s">
        <v>294</v>
      </c>
      <c r="J54" t="s">
        <v>295</v>
      </c>
      <c r="K54" t="s">
        <v>114</v>
      </c>
      <c r="L54" t="s">
        <v>44</v>
      </c>
      <c r="M54" t="s">
        <v>115</v>
      </c>
      <c r="O54" t="s">
        <v>56</v>
      </c>
      <c r="P54">
        <v>1000</v>
      </c>
      <c r="Q54">
        <v>2024</v>
      </c>
      <c r="R54">
        <v>202406</v>
      </c>
      <c r="S54" t="s">
        <v>241</v>
      </c>
      <c r="T54" t="s">
        <v>147</v>
      </c>
    </row>
    <row r="55" spans="1:20">
      <c r="A55" t="s">
        <v>296</v>
      </c>
      <c r="B55" t="s">
        <v>21</v>
      </c>
      <c r="C55" t="s">
        <v>297</v>
      </c>
      <c r="D55" t="s">
        <v>23</v>
      </c>
      <c r="E55" t="s">
        <v>51</v>
      </c>
      <c r="F55" t="s">
        <v>25</v>
      </c>
      <c r="G55">
        <v>26900</v>
      </c>
      <c r="H55" t="s">
        <v>52</v>
      </c>
      <c r="I55" t="s">
        <v>298</v>
      </c>
      <c r="J55" t="s">
        <v>299</v>
      </c>
      <c r="K55" t="s">
        <v>29</v>
      </c>
      <c r="L55" t="s">
        <v>30</v>
      </c>
      <c r="M55" t="s">
        <v>125</v>
      </c>
      <c r="N55" t="s">
        <v>32</v>
      </c>
      <c r="O55" t="s">
        <v>33</v>
      </c>
      <c r="P55">
        <v>13000</v>
      </c>
      <c r="Q55">
        <v>2022</v>
      </c>
      <c r="R55">
        <v>202407</v>
      </c>
      <c r="S55" t="s">
        <v>300</v>
      </c>
      <c r="T55" t="s">
        <v>301</v>
      </c>
    </row>
    <row r="56" spans="1:20">
      <c r="A56" t="s">
        <v>302</v>
      </c>
      <c r="B56" t="s">
        <v>37</v>
      </c>
      <c r="C56" t="s">
        <v>303</v>
      </c>
      <c r="D56" t="s">
        <v>23</v>
      </c>
      <c r="E56" t="s">
        <v>51</v>
      </c>
      <c r="F56" t="s">
        <v>25</v>
      </c>
      <c r="G56">
        <v>39500</v>
      </c>
      <c r="H56" t="s">
        <v>52</v>
      </c>
      <c r="I56" t="s">
        <v>304</v>
      </c>
      <c r="J56" t="s">
        <v>305</v>
      </c>
      <c r="K56" t="s">
        <v>164</v>
      </c>
      <c r="L56" t="s">
        <v>44</v>
      </c>
      <c r="M56" t="s">
        <v>31</v>
      </c>
      <c r="N56" t="s">
        <v>236</v>
      </c>
      <c r="O56" t="s">
        <v>73</v>
      </c>
      <c r="P56">
        <v>17000</v>
      </c>
      <c r="Q56">
        <v>2021</v>
      </c>
      <c r="R56">
        <v>202407</v>
      </c>
      <c r="S56" t="s">
        <v>300</v>
      </c>
      <c r="T56" t="s">
        <v>301</v>
      </c>
    </row>
    <row r="57" spans="1:20">
      <c r="A57" t="s">
        <v>306</v>
      </c>
      <c r="B57" t="s">
        <v>49</v>
      </c>
      <c r="C57" t="s">
        <v>307</v>
      </c>
      <c r="D57" t="s">
        <v>23</v>
      </c>
      <c r="E57" t="s">
        <v>51</v>
      </c>
      <c r="F57" t="s">
        <v>25</v>
      </c>
      <c r="G57">
        <v>36800</v>
      </c>
      <c r="H57" t="s">
        <v>52</v>
      </c>
      <c r="I57" t="s">
        <v>308</v>
      </c>
      <c r="J57" t="s">
        <v>309</v>
      </c>
      <c r="K57" t="s">
        <v>129</v>
      </c>
      <c r="L57" t="s">
        <v>81</v>
      </c>
      <c r="M57" t="s">
        <v>31</v>
      </c>
      <c r="N57" t="s">
        <v>236</v>
      </c>
      <c r="O57" t="s">
        <v>47</v>
      </c>
      <c r="P57">
        <v>19000</v>
      </c>
      <c r="Q57">
        <v>2021</v>
      </c>
      <c r="R57">
        <v>202407</v>
      </c>
      <c r="S57" t="s">
        <v>300</v>
      </c>
      <c r="T57" t="s">
        <v>301</v>
      </c>
    </row>
    <row r="58" spans="1:20">
      <c r="A58" t="s">
        <v>310</v>
      </c>
      <c r="B58" t="s">
        <v>59</v>
      </c>
      <c r="C58" t="s">
        <v>311</v>
      </c>
      <c r="D58" t="s">
        <v>23</v>
      </c>
      <c r="E58" t="s">
        <v>24</v>
      </c>
      <c r="F58" t="s">
        <v>25</v>
      </c>
      <c r="G58">
        <v>18900</v>
      </c>
      <c r="H58" t="s">
        <v>26</v>
      </c>
      <c r="I58" t="s">
        <v>312</v>
      </c>
      <c r="J58" t="s">
        <v>313</v>
      </c>
      <c r="K58" t="s">
        <v>63</v>
      </c>
      <c r="L58" t="s">
        <v>44</v>
      </c>
      <c r="M58" t="s">
        <v>31</v>
      </c>
      <c r="N58" t="s">
        <v>169</v>
      </c>
      <c r="O58" t="s">
        <v>65</v>
      </c>
      <c r="P58">
        <v>14000</v>
      </c>
      <c r="Q58">
        <v>2022</v>
      </c>
      <c r="R58">
        <v>202407</v>
      </c>
      <c r="S58" t="s">
        <v>300</v>
      </c>
      <c r="T58" t="s">
        <v>301</v>
      </c>
    </row>
    <row r="59" spans="1:20">
      <c r="A59" t="s">
        <v>314</v>
      </c>
      <c r="B59" t="s">
        <v>75</v>
      </c>
      <c r="C59" t="s">
        <v>315</v>
      </c>
      <c r="D59" t="s">
        <v>87</v>
      </c>
      <c r="E59" t="s">
        <v>88</v>
      </c>
      <c r="F59" t="s">
        <v>25</v>
      </c>
      <c r="G59">
        <v>43500</v>
      </c>
      <c r="H59" t="s">
        <v>89</v>
      </c>
      <c r="I59" t="s">
        <v>316</v>
      </c>
      <c r="J59" t="s">
        <v>317</v>
      </c>
      <c r="K59" t="s">
        <v>137</v>
      </c>
      <c r="L59" t="s">
        <v>81</v>
      </c>
      <c r="M59" t="s">
        <v>31</v>
      </c>
      <c r="N59" t="s">
        <v>82</v>
      </c>
      <c r="O59" t="s">
        <v>318</v>
      </c>
      <c r="P59">
        <v>11000</v>
      </c>
      <c r="Q59">
        <v>2023</v>
      </c>
      <c r="R59">
        <v>202407</v>
      </c>
      <c r="S59" t="s">
        <v>300</v>
      </c>
      <c r="T59" t="s">
        <v>301</v>
      </c>
    </row>
    <row r="60" spans="1:20">
      <c r="A60" t="s">
        <v>319</v>
      </c>
      <c r="B60" t="s">
        <v>101</v>
      </c>
      <c r="C60" t="s">
        <v>320</v>
      </c>
      <c r="D60" t="s">
        <v>23</v>
      </c>
      <c r="E60" t="s">
        <v>51</v>
      </c>
      <c r="F60" t="s">
        <v>103</v>
      </c>
      <c r="G60">
        <v>89900</v>
      </c>
      <c r="H60" t="s">
        <v>111</v>
      </c>
      <c r="I60" t="s">
        <v>321</v>
      </c>
      <c r="J60" t="s">
        <v>322</v>
      </c>
      <c r="K60" t="s">
        <v>106</v>
      </c>
      <c r="L60" t="s">
        <v>30</v>
      </c>
      <c r="M60" t="s">
        <v>31</v>
      </c>
      <c r="N60" t="s">
        <v>152</v>
      </c>
      <c r="O60" t="s">
        <v>83</v>
      </c>
      <c r="P60">
        <v>26000</v>
      </c>
      <c r="Q60">
        <v>2020</v>
      </c>
      <c r="R60">
        <v>202407</v>
      </c>
      <c r="S60" t="s">
        <v>300</v>
      </c>
      <c r="T60" t="s">
        <v>301</v>
      </c>
    </row>
    <row r="61" spans="1:20">
      <c r="A61" t="s">
        <v>323</v>
      </c>
      <c r="B61" t="s">
        <v>109</v>
      </c>
      <c r="C61" t="s">
        <v>324</v>
      </c>
      <c r="D61" t="s">
        <v>258</v>
      </c>
      <c r="E61" t="s">
        <v>325</v>
      </c>
      <c r="F61" t="s">
        <v>103</v>
      </c>
      <c r="G61">
        <v>129900</v>
      </c>
      <c r="H61" t="s">
        <v>228</v>
      </c>
      <c r="I61" t="s">
        <v>326</v>
      </c>
      <c r="J61" t="s">
        <v>327</v>
      </c>
      <c r="K61" t="s">
        <v>114</v>
      </c>
      <c r="L61" t="s">
        <v>44</v>
      </c>
      <c r="M61" t="s">
        <v>115</v>
      </c>
      <c r="O61" t="s">
        <v>65</v>
      </c>
      <c r="P61">
        <v>500</v>
      </c>
      <c r="Q61">
        <v>2024</v>
      </c>
      <c r="R61">
        <v>202407</v>
      </c>
      <c r="S61" t="s">
        <v>300</v>
      </c>
      <c r="T61" t="s">
        <v>301</v>
      </c>
    </row>
    <row r="62" spans="1:20">
      <c r="A62" t="s">
        <v>328</v>
      </c>
      <c r="B62" t="s">
        <v>21</v>
      </c>
      <c r="C62" t="s">
        <v>329</v>
      </c>
      <c r="D62" t="s">
        <v>68</v>
      </c>
      <c r="E62" t="s">
        <v>77</v>
      </c>
      <c r="F62" t="s">
        <v>25</v>
      </c>
      <c r="G62">
        <v>37800</v>
      </c>
      <c r="H62" t="s">
        <v>52</v>
      </c>
      <c r="I62" t="s">
        <v>330</v>
      </c>
      <c r="J62" t="s">
        <v>331</v>
      </c>
      <c r="K62" t="s">
        <v>29</v>
      </c>
      <c r="L62" t="s">
        <v>30</v>
      </c>
      <c r="M62" t="s">
        <v>31</v>
      </c>
      <c r="N62" t="s">
        <v>236</v>
      </c>
      <c r="O62" t="s">
        <v>56</v>
      </c>
      <c r="P62">
        <v>20000</v>
      </c>
      <c r="Q62">
        <v>2021</v>
      </c>
      <c r="R62">
        <v>202407</v>
      </c>
      <c r="S62" t="s">
        <v>300</v>
      </c>
      <c r="T62" t="s">
        <v>301</v>
      </c>
    </row>
    <row r="63" spans="1:20">
      <c r="A63" t="s">
        <v>332</v>
      </c>
      <c r="B63" t="s">
        <v>37</v>
      </c>
      <c r="C63" t="s">
        <v>333</v>
      </c>
      <c r="D63" t="s">
        <v>68</v>
      </c>
      <c r="E63" t="s">
        <v>77</v>
      </c>
      <c r="F63" t="s">
        <v>25</v>
      </c>
      <c r="G63">
        <v>56900</v>
      </c>
      <c r="H63" t="s">
        <v>89</v>
      </c>
      <c r="I63" t="s">
        <v>334</v>
      </c>
      <c r="J63" t="s">
        <v>335</v>
      </c>
      <c r="K63" t="s">
        <v>43</v>
      </c>
      <c r="L63" t="s">
        <v>44</v>
      </c>
      <c r="M63" t="s">
        <v>45</v>
      </c>
      <c r="N63" t="s">
        <v>336</v>
      </c>
      <c r="O63" t="s">
        <v>73</v>
      </c>
      <c r="P63">
        <v>28000</v>
      </c>
      <c r="Q63">
        <v>2019</v>
      </c>
      <c r="R63">
        <v>202407</v>
      </c>
      <c r="S63" t="s">
        <v>300</v>
      </c>
      <c r="T63" t="s">
        <v>301</v>
      </c>
    </row>
    <row r="64" spans="1:20">
      <c r="A64" t="s">
        <v>337</v>
      </c>
      <c r="B64" t="s">
        <v>49</v>
      </c>
      <c r="C64" t="s">
        <v>338</v>
      </c>
      <c r="D64" t="s">
        <v>68</v>
      </c>
      <c r="E64" t="s">
        <v>77</v>
      </c>
      <c r="F64" t="s">
        <v>25</v>
      </c>
      <c r="G64">
        <v>51200</v>
      </c>
      <c r="H64" t="s">
        <v>89</v>
      </c>
      <c r="I64" t="s">
        <v>339</v>
      </c>
      <c r="J64" t="s">
        <v>340</v>
      </c>
      <c r="K64" t="s">
        <v>129</v>
      </c>
      <c r="L64" t="s">
        <v>81</v>
      </c>
      <c r="M64" t="s">
        <v>31</v>
      </c>
      <c r="N64" t="s">
        <v>282</v>
      </c>
      <c r="O64" t="s">
        <v>33</v>
      </c>
      <c r="P64">
        <v>30000</v>
      </c>
      <c r="Q64">
        <v>2020</v>
      </c>
      <c r="R64">
        <v>202407</v>
      </c>
      <c r="S64" t="s">
        <v>300</v>
      </c>
      <c r="T64" t="s">
        <v>301</v>
      </c>
    </row>
    <row r="65" spans="1:20">
      <c r="A65" t="s">
        <v>341</v>
      </c>
      <c r="B65" t="s">
        <v>59</v>
      </c>
      <c r="C65" t="s">
        <v>342</v>
      </c>
      <c r="D65" t="s">
        <v>68</v>
      </c>
      <c r="E65" t="s">
        <v>77</v>
      </c>
      <c r="F65" t="s">
        <v>25</v>
      </c>
      <c r="G65">
        <v>47500</v>
      </c>
      <c r="H65" t="s">
        <v>89</v>
      </c>
      <c r="I65" t="s">
        <v>343</v>
      </c>
      <c r="J65" t="s">
        <v>344</v>
      </c>
      <c r="K65" t="s">
        <v>250</v>
      </c>
      <c r="L65" t="s">
        <v>44</v>
      </c>
      <c r="M65" t="s">
        <v>31</v>
      </c>
      <c r="N65" t="s">
        <v>345</v>
      </c>
      <c r="O65" t="s">
        <v>47</v>
      </c>
      <c r="P65">
        <v>16000</v>
      </c>
      <c r="Q65">
        <v>2022</v>
      </c>
      <c r="R65">
        <v>202407</v>
      </c>
      <c r="S65" t="s">
        <v>300</v>
      </c>
      <c r="T65" t="s">
        <v>301</v>
      </c>
    </row>
    <row r="66" spans="1:20">
      <c r="A66" t="s">
        <v>346</v>
      </c>
      <c r="B66" t="s">
        <v>85</v>
      </c>
      <c r="C66" t="s">
        <v>347</v>
      </c>
      <c r="D66" t="s">
        <v>68</v>
      </c>
      <c r="E66" t="s">
        <v>77</v>
      </c>
      <c r="F66" t="s">
        <v>25</v>
      </c>
      <c r="G66">
        <v>38900</v>
      </c>
      <c r="H66" t="s">
        <v>52</v>
      </c>
      <c r="I66" t="s">
        <v>348</v>
      </c>
      <c r="J66" t="s">
        <v>349</v>
      </c>
      <c r="K66" t="s">
        <v>92</v>
      </c>
      <c r="L66" t="s">
        <v>93</v>
      </c>
      <c r="M66" t="s">
        <v>31</v>
      </c>
      <c r="N66" t="s">
        <v>182</v>
      </c>
      <c r="O66" t="s">
        <v>177</v>
      </c>
      <c r="P66">
        <v>9000</v>
      </c>
      <c r="Q66">
        <v>2023</v>
      </c>
      <c r="R66">
        <v>202407</v>
      </c>
      <c r="S66" t="s">
        <v>300</v>
      </c>
      <c r="T66" t="s">
        <v>301</v>
      </c>
    </row>
    <row r="67" spans="1:20">
      <c r="A67" t="s">
        <v>350</v>
      </c>
      <c r="B67" t="s">
        <v>96</v>
      </c>
      <c r="C67" t="s">
        <v>351</v>
      </c>
      <c r="D67" t="s">
        <v>68</v>
      </c>
      <c r="E67" t="s">
        <v>77</v>
      </c>
      <c r="F67" t="s">
        <v>25</v>
      </c>
      <c r="G67">
        <v>58900</v>
      </c>
      <c r="H67" t="s">
        <v>89</v>
      </c>
      <c r="I67" t="s">
        <v>352</v>
      </c>
      <c r="J67" t="s">
        <v>353</v>
      </c>
      <c r="K67" t="s">
        <v>99</v>
      </c>
      <c r="L67" t="s">
        <v>93</v>
      </c>
      <c r="M67" t="s">
        <v>31</v>
      </c>
      <c r="N67" t="s">
        <v>354</v>
      </c>
      <c r="O67" t="s">
        <v>83</v>
      </c>
      <c r="P67">
        <v>25000</v>
      </c>
      <c r="Q67">
        <v>2020</v>
      </c>
      <c r="R67">
        <v>202407</v>
      </c>
      <c r="S67" t="s">
        <v>300</v>
      </c>
      <c r="T67" t="s">
        <v>301</v>
      </c>
    </row>
    <row r="68" spans="1:20">
      <c r="A68" t="s">
        <v>355</v>
      </c>
      <c r="B68" t="s">
        <v>101</v>
      </c>
      <c r="C68" t="s">
        <v>356</v>
      </c>
      <c r="D68" t="s">
        <v>258</v>
      </c>
      <c r="E68" t="s">
        <v>266</v>
      </c>
      <c r="F68" t="s">
        <v>103</v>
      </c>
      <c r="G68">
        <v>99900</v>
      </c>
      <c r="H68" t="s">
        <v>228</v>
      </c>
      <c r="I68" t="s">
        <v>357</v>
      </c>
      <c r="J68" t="s">
        <v>358</v>
      </c>
      <c r="K68" t="s">
        <v>106</v>
      </c>
      <c r="L68" t="s">
        <v>30</v>
      </c>
      <c r="M68" t="s">
        <v>45</v>
      </c>
      <c r="N68" t="s">
        <v>152</v>
      </c>
      <c r="O68" t="s">
        <v>33</v>
      </c>
      <c r="P68">
        <v>18000</v>
      </c>
      <c r="Q68">
        <v>2022</v>
      </c>
      <c r="R68">
        <v>202407</v>
      </c>
      <c r="S68" t="s">
        <v>300</v>
      </c>
      <c r="T68" t="s">
        <v>301</v>
      </c>
    </row>
    <row r="69" spans="1:20">
      <c r="A69" t="s">
        <v>359</v>
      </c>
      <c r="B69" t="s">
        <v>21</v>
      </c>
      <c r="C69" t="s">
        <v>360</v>
      </c>
      <c r="D69" t="s">
        <v>361</v>
      </c>
      <c r="E69" t="s">
        <v>362</v>
      </c>
      <c r="F69" t="s">
        <v>25</v>
      </c>
      <c r="G69">
        <v>35800</v>
      </c>
      <c r="H69" t="s">
        <v>52</v>
      </c>
      <c r="I69" t="s">
        <v>363</v>
      </c>
      <c r="J69" t="s">
        <v>364</v>
      </c>
      <c r="K69" t="s">
        <v>120</v>
      </c>
      <c r="L69" t="s">
        <v>30</v>
      </c>
      <c r="M69" t="s">
        <v>31</v>
      </c>
      <c r="N69" t="s">
        <v>236</v>
      </c>
      <c r="O69" t="s">
        <v>56</v>
      </c>
      <c r="P69">
        <v>22000</v>
      </c>
      <c r="Q69">
        <v>2021</v>
      </c>
      <c r="R69">
        <v>202408</v>
      </c>
      <c r="S69" t="s">
        <v>365</v>
      </c>
      <c r="T69" t="s">
        <v>301</v>
      </c>
    </row>
    <row r="70" spans="1:20">
      <c r="A70" t="s">
        <v>366</v>
      </c>
      <c r="B70" t="s">
        <v>37</v>
      </c>
      <c r="C70" t="s">
        <v>367</v>
      </c>
      <c r="D70" t="s">
        <v>361</v>
      </c>
      <c r="E70" t="s">
        <v>362</v>
      </c>
      <c r="F70" t="s">
        <v>25</v>
      </c>
      <c r="G70">
        <v>39500</v>
      </c>
      <c r="H70" t="s">
        <v>52</v>
      </c>
      <c r="I70" t="s">
        <v>368</v>
      </c>
      <c r="J70" t="s">
        <v>369</v>
      </c>
      <c r="K70" t="s">
        <v>43</v>
      </c>
      <c r="L70" t="s">
        <v>44</v>
      </c>
      <c r="M70" t="s">
        <v>125</v>
      </c>
      <c r="N70" t="s">
        <v>55</v>
      </c>
      <c r="O70" t="s">
        <v>47</v>
      </c>
      <c r="P70">
        <v>15000</v>
      </c>
      <c r="Q70">
        <v>2022</v>
      </c>
      <c r="R70">
        <v>202408</v>
      </c>
      <c r="S70" t="s">
        <v>365</v>
      </c>
      <c r="T70" t="s">
        <v>301</v>
      </c>
    </row>
    <row r="71" spans="1:20">
      <c r="A71" t="s">
        <v>370</v>
      </c>
      <c r="B71" t="s">
        <v>49</v>
      </c>
      <c r="C71" t="s">
        <v>371</v>
      </c>
      <c r="D71" t="s">
        <v>361</v>
      </c>
      <c r="E71" t="s">
        <v>362</v>
      </c>
      <c r="F71" t="s">
        <v>25</v>
      </c>
      <c r="G71">
        <v>32900</v>
      </c>
      <c r="H71" t="s">
        <v>52</v>
      </c>
      <c r="I71" t="s">
        <v>372</v>
      </c>
      <c r="J71" t="s">
        <v>373</v>
      </c>
      <c r="K71" t="s">
        <v>129</v>
      </c>
      <c r="L71" t="s">
        <v>81</v>
      </c>
      <c r="M71" t="s">
        <v>31</v>
      </c>
      <c r="N71" t="s">
        <v>236</v>
      </c>
      <c r="O71" t="s">
        <v>73</v>
      </c>
      <c r="P71">
        <v>24000</v>
      </c>
      <c r="Q71">
        <v>2020</v>
      </c>
      <c r="R71">
        <v>202408</v>
      </c>
      <c r="S71" t="s">
        <v>365</v>
      </c>
      <c r="T71" t="s">
        <v>301</v>
      </c>
    </row>
    <row r="72" spans="1:20">
      <c r="A72" t="s">
        <v>374</v>
      </c>
      <c r="B72" t="s">
        <v>59</v>
      </c>
      <c r="C72" t="s">
        <v>375</v>
      </c>
      <c r="D72" t="s">
        <v>361</v>
      </c>
      <c r="E72" t="s">
        <v>362</v>
      </c>
      <c r="F72" t="s">
        <v>25</v>
      </c>
      <c r="G72">
        <v>28900</v>
      </c>
      <c r="H72" t="s">
        <v>52</v>
      </c>
      <c r="I72" t="s">
        <v>376</v>
      </c>
      <c r="J72" t="s">
        <v>377</v>
      </c>
      <c r="K72" t="s">
        <v>63</v>
      </c>
      <c r="L72" t="s">
        <v>44</v>
      </c>
      <c r="M72" t="s">
        <v>31</v>
      </c>
      <c r="N72" t="s">
        <v>345</v>
      </c>
      <c r="O72" t="s">
        <v>33</v>
      </c>
      <c r="P72">
        <v>27000</v>
      </c>
      <c r="Q72">
        <v>2019</v>
      </c>
      <c r="R72">
        <v>202408</v>
      </c>
      <c r="S72" t="s">
        <v>365</v>
      </c>
      <c r="T72" t="s">
        <v>301</v>
      </c>
    </row>
    <row r="73" spans="1:20">
      <c r="A73" t="s">
        <v>378</v>
      </c>
      <c r="B73" t="s">
        <v>85</v>
      </c>
      <c r="C73" t="s">
        <v>379</v>
      </c>
      <c r="D73" t="s">
        <v>361</v>
      </c>
      <c r="E73" t="s">
        <v>362</v>
      </c>
      <c r="F73" t="s">
        <v>25</v>
      </c>
      <c r="G73">
        <v>28901</v>
      </c>
      <c r="H73" t="s">
        <v>52</v>
      </c>
      <c r="I73" t="s">
        <v>376</v>
      </c>
      <c r="J73" t="s">
        <v>377</v>
      </c>
      <c r="K73" t="s">
        <v>63</v>
      </c>
      <c r="L73" t="s">
        <v>44</v>
      </c>
      <c r="M73" t="s">
        <v>31</v>
      </c>
      <c r="N73" t="s">
        <v>345</v>
      </c>
      <c r="O73" t="s">
        <v>33</v>
      </c>
      <c r="P73">
        <v>27000</v>
      </c>
      <c r="Q73">
        <v>2019</v>
      </c>
      <c r="R73">
        <v>202408</v>
      </c>
      <c r="S73" t="s">
        <v>365</v>
      </c>
      <c r="T73" t="s">
        <v>301</v>
      </c>
    </row>
    <row r="74" spans="1:20">
      <c r="A74" t="s">
        <v>380</v>
      </c>
      <c r="B74" t="s">
        <v>96</v>
      </c>
      <c r="C74" t="s">
        <v>381</v>
      </c>
      <c r="D74" t="s">
        <v>361</v>
      </c>
      <c r="E74" t="s">
        <v>362</v>
      </c>
      <c r="F74" t="s">
        <v>25</v>
      </c>
      <c r="G74">
        <v>33500</v>
      </c>
      <c r="H74" t="s">
        <v>52</v>
      </c>
      <c r="I74" t="s">
        <v>382</v>
      </c>
      <c r="J74" t="s">
        <v>383</v>
      </c>
      <c r="K74" t="s">
        <v>187</v>
      </c>
      <c r="L74" t="s">
        <v>93</v>
      </c>
      <c r="M74" t="s">
        <v>31</v>
      </c>
      <c r="N74" t="s">
        <v>291</v>
      </c>
      <c r="O74" t="s">
        <v>83</v>
      </c>
      <c r="P74">
        <v>21000</v>
      </c>
      <c r="Q74">
        <v>2021</v>
      </c>
      <c r="R74">
        <v>202408</v>
      </c>
      <c r="S74" t="s">
        <v>365</v>
      </c>
      <c r="T74" t="s">
        <v>301</v>
      </c>
    </row>
    <row r="75" spans="1:20">
      <c r="A75" t="s">
        <v>384</v>
      </c>
      <c r="B75" t="s">
        <v>109</v>
      </c>
      <c r="C75" t="s">
        <v>385</v>
      </c>
      <c r="D75" t="s">
        <v>87</v>
      </c>
      <c r="E75" t="s">
        <v>88</v>
      </c>
      <c r="F75" t="s">
        <v>103</v>
      </c>
      <c r="G75">
        <v>179900</v>
      </c>
      <c r="H75" t="s">
        <v>386</v>
      </c>
      <c r="I75" t="s">
        <v>387</v>
      </c>
      <c r="J75" t="s">
        <v>388</v>
      </c>
      <c r="K75" t="s">
        <v>114</v>
      </c>
      <c r="L75" t="s">
        <v>44</v>
      </c>
      <c r="M75" t="s">
        <v>115</v>
      </c>
      <c r="O75" t="s">
        <v>56</v>
      </c>
      <c r="P75">
        <v>2000</v>
      </c>
      <c r="Q75">
        <v>2024</v>
      </c>
      <c r="R75">
        <v>202408</v>
      </c>
      <c r="S75" t="s">
        <v>365</v>
      </c>
      <c r="T75" t="s">
        <v>301</v>
      </c>
    </row>
    <row r="76" spans="1:20">
      <c r="A76" t="s">
        <v>389</v>
      </c>
      <c r="B76" t="s">
        <v>21</v>
      </c>
      <c r="C76" t="s">
        <v>390</v>
      </c>
      <c r="D76" t="s">
        <v>68</v>
      </c>
      <c r="E76" t="s">
        <v>77</v>
      </c>
      <c r="F76" t="s">
        <v>25</v>
      </c>
      <c r="G76">
        <v>24900</v>
      </c>
      <c r="H76" t="s">
        <v>26</v>
      </c>
      <c r="I76" t="s">
        <v>391</v>
      </c>
      <c r="J76" t="s">
        <v>392</v>
      </c>
      <c r="K76" t="s">
        <v>29</v>
      </c>
      <c r="L76" t="s">
        <v>30</v>
      </c>
      <c r="M76" t="s">
        <v>31</v>
      </c>
      <c r="N76" t="s">
        <v>72</v>
      </c>
      <c r="O76" t="s">
        <v>318</v>
      </c>
      <c r="P76">
        <v>35000</v>
      </c>
      <c r="Q76">
        <v>2018</v>
      </c>
      <c r="R76">
        <v>202408</v>
      </c>
      <c r="S76" t="s">
        <v>365</v>
      </c>
      <c r="T76" t="s">
        <v>301</v>
      </c>
    </row>
    <row r="77" spans="1:20">
      <c r="A77" t="s">
        <v>393</v>
      </c>
      <c r="B77" t="s">
        <v>37</v>
      </c>
      <c r="C77" t="s">
        <v>394</v>
      </c>
      <c r="D77" t="s">
        <v>68</v>
      </c>
      <c r="E77" t="s">
        <v>77</v>
      </c>
      <c r="F77" t="s">
        <v>25</v>
      </c>
      <c r="G77">
        <v>31500</v>
      </c>
      <c r="H77" t="s">
        <v>52</v>
      </c>
      <c r="I77" t="s">
        <v>395</v>
      </c>
      <c r="J77" t="s">
        <v>396</v>
      </c>
      <c r="K77" t="s">
        <v>43</v>
      </c>
      <c r="L77" t="s">
        <v>44</v>
      </c>
      <c r="M77" t="s">
        <v>31</v>
      </c>
      <c r="N77" t="s">
        <v>397</v>
      </c>
      <c r="O77" t="s">
        <v>398</v>
      </c>
      <c r="P77">
        <v>40000</v>
      </c>
      <c r="Q77">
        <v>2017</v>
      </c>
      <c r="R77">
        <v>202408</v>
      </c>
      <c r="S77" t="s">
        <v>365</v>
      </c>
      <c r="T77" t="s">
        <v>301</v>
      </c>
    </row>
    <row r="78" spans="1:20">
      <c r="A78" t="s">
        <v>399</v>
      </c>
      <c r="B78" t="s">
        <v>49</v>
      </c>
      <c r="C78" t="s">
        <v>400</v>
      </c>
      <c r="D78" t="s">
        <v>68</v>
      </c>
      <c r="E78" t="s">
        <v>77</v>
      </c>
      <c r="F78" t="s">
        <v>25</v>
      </c>
      <c r="G78">
        <v>26900</v>
      </c>
      <c r="H78" t="s">
        <v>52</v>
      </c>
      <c r="I78" t="s">
        <v>401</v>
      </c>
      <c r="J78" t="s">
        <v>402</v>
      </c>
      <c r="K78" t="s">
        <v>206</v>
      </c>
      <c r="L78" t="s">
        <v>81</v>
      </c>
      <c r="M78" t="s">
        <v>31</v>
      </c>
      <c r="N78" t="s">
        <v>397</v>
      </c>
      <c r="O78" t="s">
        <v>65</v>
      </c>
      <c r="P78">
        <v>38000</v>
      </c>
      <c r="Q78">
        <v>2018</v>
      </c>
      <c r="R78">
        <v>202408</v>
      </c>
      <c r="S78" t="s">
        <v>365</v>
      </c>
      <c r="T78" t="s">
        <v>301</v>
      </c>
    </row>
    <row r="79" spans="1:20">
      <c r="A79" t="s">
        <v>403</v>
      </c>
      <c r="B79" t="s">
        <v>59</v>
      </c>
      <c r="C79" t="s">
        <v>404</v>
      </c>
      <c r="D79" t="s">
        <v>68</v>
      </c>
      <c r="E79" t="s">
        <v>77</v>
      </c>
      <c r="F79" t="s">
        <v>25</v>
      </c>
      <c r="G79">
        <v>23500</v>
      </c>
      <c r="H79" t="s">
        <v>26</v>
      </c>
      <c r="I79" t="s">
        <v>405</v>
      </c>
      <c r="J79" t="s">
        <v>406</v>
      </c>
      <c r="K79" t="s">
        <v>63</v>
      </c>
      <c r="L79" t="s">
        <v>44</v>
      </c>
      <c r="M79" t="s">
        <v>31</v>
      </c>
      <c r="N79" t="s">
        <v>345</v>
      </c>
      <c r="O79" t="s">
        <v>73</v>
      </c>
      <c r="P79">
        <v>42000</v>
      </c>
      <c r="Q79">
        <v>2017</v>
      </c>
      <c r="R79">
        <v>202408</v>
      </c>
      <c r="S79" t="s">
        <v>365</v>
      </c>
      <c r="T79" t="s">
        <v>301</v>
      </c>
    </row>
    <row r="80" spans="1:20">
      <c r="A80" t="s">
        <v>407</v>
      </c>
      <c r="B80" t="s">
        <v>75</v>
      </c>
      <c r="C80" t="s">
        <v>408</v>
      </c>
      <c r="D80" t="s">
        <v>68</v>
      </c>
      <c r="E80" t="s">
        <v>77</v>
      </c>
      <c r="F80" t="s">
        <v>25</v>
      </c>
      <c r="G80">
        <v>22900</v>
      </c>
      <c r="H80" t="s">
        <v>26</v>
      </c>
      <c r="I80" t="s">
        <v>409</v>
      </c>
      <c r="J80" t="s">
        <v>410</v>
      </c>
      <c r="K80" t="s">
        <v>80</v>
      </c>
      <c r="L80" t="s">
        <v>81</v>
      </c>
      <c r="M80" t="s">
        <v>45</v>
      </c>
      <c r="N80" t="s">
        <v>411</v>
      </c>
      <c r="O80" t="s">
        <v>56</v>
      </c>
      <c r="P80">
        <v>45000</v>
      </c>
      <c r="Q80">
        <v>2016</v>
      </c>
      <c r="R80">
        <v>202408</v>
      </c>
      <c r="S80" t="s">
        <v>365</v>
      </c>
      <c r="T80" t="s">
        <v>301</v>
      </c>
    </row>
    <row r="81" spans="1:20">
      <c r="A81" t="s">
        <v>412</v>
      </c>
      <c r="B81" t="s">
        <v>85</v>
      </c>
      <c r="C81" t="s">
        <v>413</v>
      </c>
      <c r="D81" t="s">
        <v>68</v>
      </c>
      <c r="E81" t="s">
        <v>77</v>
      </c>
      <c r="F81" t="s">
        <v>25</v>
      </c>
      <c r="G81">
        <v>28900</v>
      </c>
      <c r="H81" t="s">
        <v>52</v>
      </c>
      <c r="I81" t="s">
        <v>414</v>
      </c>
      <c r="J81" t="s">
        <v>415</v>
      </c>
      <c r="K81" t="s">
        <v>92</v>
      </c>
      <c r="L81" t="s">
        <v>93</v>
      </c>
      <c r="M81" t="s">
        <v>31</v>
      </c>
      <c r="N81" t="s">
        <v>416</v>
      </c>
      <c r="O81" t="s">
        <v>33</v>
      </c>
      <c r="P81">
        <v>48000</v>
      </c>
      <c r="Q81">
        <v>2016</v>
      </c>
      <c r="R81">
        <v>202408</v>
      </c>
      <c r="S81" t="s">
        <v>365</v>
      </c>
      <c r="T81" t="s">
        <v>301</v>
      </c>
    </row>
    <row r="82" spans="1:20">
      <c r="A82" t="s">
        <v>417</v>
      </c>
      <c r="B82" t="s">
        <v>96</v>
      </c>
      <c r="C82" t="s">
        <v>418</v>
      </c>
      <c r="D82" t="s">
        <v>68</v>
      </c>
      <c r="E82" t="s">
        <v>77</v>
      </c>
      <c r="F82" t="s">
        <v>25</v>
      </c>
      <c r="G82">
        <v>62900</v>
      </c>
      <c r="H82" t="s">
        <v>111</v>
      </c>
      <c r="I82" t="s">
        <v>419</v>
      </c>
      <c r="J82" t="s">
        <v>420</v>
      </c>
      <c r="K82" t="s">
        <v>99</v>
      </c>
      <c r="L82" t="s">
        <v>93</v>
      </c>
      <c r="M82" t="s">
        <v>31</v>
      </c>
      <c r="N82" t="s">
        <v>354</v>
      </c>
      <c r="O82" t="s">
        <v>47</v>
      </c>
      <c r="P82">
        <v>23000</v>
      </c>
      <c r="Q82">
        <v>2021</v>
      </c>
      <c r="R82">
        <v>202408</v>
      </c>
      <c r="S82" t="s">
        <v>365</v>
      </c>
      <c r="T82" t="s">
        <v>301</v>
      </c>
    </row>
    <row r="83" spans="1:20">
      <c r="A83" t="s">
        <v>421</v>
      </c>
      <c r="B83" t="s">
        <v>101</v>
      </c>
      <c r="C83" t="s">
        <v>422</v>
      </c>
      <c r="D83" t="s">
        <v>23</v>
      </c>
      <c r="E83" t="s">
        <v>51</v>
      </c>
      <c r="F83" t="s">
        <v>103</v>
      </c>
      <c r="G83">
        <v>39900</v>
      </c>
      <c r="H83" t="s">
        <v>52</v>
      </c>
      <c r="I83" t="s">
        <v>423</v>
      </c>
      <c r="J83" t="s">
        <v>424</v>
      </c>
      <c r="K83" t="s">
        <v>106</v>
      </c>
      <c r="L83" t="s">
        <v>30</v>
      </c>
      <c r="M83" t="s">
        <v>115</v>
      </c>
      <c r="O83" t="s">
        <v>83</v>
      </c>
      <c r="P83">
        <v>16000</v>
      </c>
      <c r="Q83">
        <v>2022</v>
      </c>
      <c r="R83">
        <v>202408</v>
      </c>
      <c r="S83" t="s">
        <v>365</v>
      </c>
      <c r="T83" t="s">
        <v>301</v>
      </c>
    </row>
    <row r="84" spans="1:20">
      <c r="A84" t="s">
        <v>425</v>
      </c>
      <c r="B84" t="s">
        <v>21</v>
      </c>
      <c r="C84" t="s">
        <v>426</v>
      </c>
      <c r="D84" t="s">
        <v>68</v>
      </c>
      <c r="E84" t="s">
        <v>77</v>
      </c>
      <c r="F84" t="s">
        <v>25</v>
      </c>
      <c r="G84">
        <v>27900</v>
      </c>
      <c r="H84" t="s">
        <v>52</v>
      </c>
      <c r="I84" t="s">
        <v>427</v>
      </c>
      <c r="J84" t="s">
        <v>428</v>
      </c>
      <c r="K84" t="s">
        <v>120</v>
      </c>
      <c r="L84" t="s">
        <v>30</v>
      </c>
      <c r="M84" t="s">
        <v>31</v>
      </c>
      <c r="N84" t="s">
        <v>236</v>
      </c>
      <c r="O84" t="s">
        <v>73</v>
      </c>
      <c r="P84">
        <v>29000</v>
      </c>
      <c r="Q84">
        <v>2019</v>
      </c>
      <c r="R84">
        <v>202408</v>
      </c>
      <c r="S84" t="s">
        <v>365</v>
      </c>
      <c r="T84" t="s">
        <v>301</v>
      </c>
    </row>
    <row r="85" spans="1:20">
      <c r="A85" t="s">
        <v>429</v>
      </c>
      <c r="B85" t="s">
        <v>37</v>
      </c>
      <c r="C85" t="s">
        <v>430</v>
      </c>
      <c r="D85" t="s">
        <v>68</v>
      </c>
      <c r="E85" t="s">
        <v>77</v>
      </c>
      <c r="F85" t="s">
        <v>25</v>
      </c>
      <c r="G85">
        <v>35800</v>
      </c>
      <c r="H85" t="s">
        <v>52</v>
      </c>
      <c r="I85" t="s">
        <v>431</v>
      </c>
      <c r="J85" t="s">
        <v>432</v>
      </c>
      <c r="K85" t="s">
        <v>43</v>
      </c>
      <c r="L85" t="s">
        <v>44</v>
      </c>
      <c r="M85" t="s">
        <v>31</v>
      </c>
      <c r="N85" t="s">
        <v>277</v>
      </c>
      <c r="O85" t="s">
        <v>56</v>
      </c>
      <c r="P85">
        <v>24000</v>
      </c>
      <c r="Q85">
        <v>2020</v>
      </c>
      <c r="R85">
        <v>202409</v>
      </c>
      <c r="S85" t="s">
        <v>433</v>
      </c>
      <c r="T85" t="s">
        <v>301</v>
      </c>
    </row>
    <row r="86" spans="1:20">
      <c r="A86" t="s">
        <v>434</v>
      </c>
      <c r="B86" t="s">
        <v>49</v>
      </c>
      <c r="C86" t="s">
        <v>435</v>
      </c>
      <c r="D86" t="s">
        <v>68</v>
      </c>
      <c r="E86" t="s">
        <v>77</v>
      </c>
      <c r="F86" t="s">
        <v>25</v>
      </c>
      <c r="G86">
        <v>38500</v>
      </c>
      <c r="H86" t="s">
        <v>52</v>
      </c>
      <c r="I86" t="s">
        <v>436</v>
      </c>
      <c r="J86" t="s">
        <v>437</v>
      </c>
      <c r="K86" t="s">
        <v>129</v>
      </c>
      <c r="L86" t="s">
        <v>81</v>
      </c>
      <c r="M86" t="s">
        <v>31</v>
      </c>
      <c r="N86" t="s">
        <v>236</v>
      </c>
      <c r="O86" t="s">
        <v>65</v>
      </c>
      <c r="P86">
        <v>26000</v>
      </c>
      <c r="Q86">
        <v>2020</v>
      </c>
      <c r="R86">
        <v>202409</v>
      </c>
      <c r="S86" t="s">
        <v>433</v>
      </c>
      <c r="T86" t="s">
        <v>301</v>
      </c>
    </row>
    <row r="87" spans="1:20">
      <c r="A87" t="s">
        <v>438</v>
      </c>
      <c r="B87" t="s">
        <v>59</v>
      </c>
      <c r="C87" t="s">
        <v>439</v>
      </c>
      <c r="D87" t="s">
        <v>68</v>
      </c>
      <c r="E87" t="s">
        <v>77</v>
      </c>
      <c r="F87" t="s">
        <v>25</v>
      </c>
      <c r="G87">
        <v>29800</v>
      </c>
      <c r="H87" t="s">
        <v>52</v>
      </c>
      <c r="I87" t="s">
        <v>440</v>
      </c>
      <c r="J87" t="s">
        <v>441</v>
      </c>
      <c r="K87" t="s">
        <v>250</v>
      </c>
      <c r="L87" t="s">
        <v>44</v>
      </c>
      <c r="M87" t="s">
        <v>31</v>
      </c>
      <c r="N87" t="s">
        <v>72</v>
      </c>
      <c r="O87" t="s">
        <v>33</v>
      </c>
      <c r="P87">
        <v>31000</v>
      </c>
      <c r="Q87">
        <v>2019</v>
      </c>
      <c r="R87">
        <v>202409</v>
      </c>
      <c r="S87" t="s">
        <v>433</v>
      </c>
      <c r="T87" t="s">
        <v>301</v>
      </c>
    </row>
    <row r="88" spans="1:20">
      <c r="A88" t="s">
        <v>442</v>
      </c>
      <c r="B88" t="s">
        <v>75</v>
      </c>
      <c r="C88" t="s">
        <v>443</v>
      </c>
      <c r="D88" t="s">
        <v>68</v>
      </c>
      <c r="E88" t="s">
        <v>77</v>
      </c>
      <c r="F88" t="s">
        <v>25</v>
      </c>
      <c r="G88">
        <v>21900</v>
      </c>
      <c r="H88" t="s">
        <v>26</v>
      </c>
      <c r="I88" t="s">
        <v>444</v>
      </c>
      <c r="J88" t="s">
        <v>445</v>
      </c>
      <c r="K88" t="s">
        <v>80</v>
      </c>
      <c r="L88" t="s">
        <v>81</v>
      </c>
      <c r="M88" t="s">
        <v>31</v>
      </c>
      <c r="N88" t="s">
        <v>72</v>
      </c>
      <c r="O88" t="s">
        <v>177</v>
      </c>
      <c r="P88">
        <v>34000</v>
      </c>
      <c r="Q88">
        <v>2018</v>
      </c>
      <c r="R88">
        <v>202409</v>
      </c>
      <c r="S88" t="s">
        <v>433</v>
      </c>
      <c r="T88" t="s">
        <v>301</v>
      </c>
    </row>
    <row r="89" spans="1:20">
      <c r="A89" t="s">
        <v>446</v>
      </c>
      <c r="B89" t="s">
        <v>85</v>
      </c>
      <c r="C89" t="s">
        <v>447</v>
      </c>
      <c r="D89" t="s">
        <v>68</v>
      </c>
      <c r="E89" t="s">
        <v>77</v>
      </c>
      <c r="F89" t="s">
        <v>25</v>
      </c>
      <c r="G89">
        <v>32500</v>
      </c>
      <c r="H89" t="s">
        <v>52</v>
      </c>
      <c r="I89" t="s">
        <v>448</v>
      </c>
      <c r="J89" t="s">
        <v>449</v>
      </c>
      <c r="K89" t="s">
        <v>92</v>
      </c>
      <c r="L89" t="s">
        <v>93</v>
      </c>
      <c r="M89" t="s">
        <v>45</v>
      </c>
      <c r="N89" t="s">
        <v>64</v>
      </c>
      <c r="O89" t="s">
        <v>83</v>
      </c>
      <c r="P89">
        <v>27000</v>
      </c>
      <c r="Q89">
        <v>2020</v>
      </c>
      <c r="R89">
        <v>202409</v>
      </c>
      <c r="S89" t="s">
        <v>433</v>
      </c>
      <c r="T89" t="s">
        <v>301</v>
      </c>
    </row>
    <row r="90" spans="1:20">
      <c r="A90" t="s">
        <v>450</v>
      </c>
      <c r="B90" t="s">
        <v>96</v>
      </c>
      <c r="C90" t="s">
        <v>451</v>
      </c>
      <c r="D90" t="s">
        <v>68</v>
      </c>
      <c r="E90" t="s">
        <v>77</v>
      </c>
      <c r="F90" t="s">
        <v>25</v>
      </c>
      <c r="G90">
        <v>35200</v>
      </c>
      <c r="H90" t="s">
        <v>52</v>
      </c>
      <c r="I90" t="s">
        <v>452</v>
      </c>
      <c r="J90" t="s">
        <v>453</v>
      </c>
      <c r="K90" t="s">
        <v>99</v>
      </c>
      <c r="L90" t="s">
        <v>93</v>
      </c>
      <c r="M90" t="s">
        <v>31</v>
      </c>
      <c r="N90" t="s">
        <v>55</v>
      </c>
      <c r="O90" t="s">
        <v>73</v>
      </c>
      <c r="P90">
        <v>25000</v>
      </c>
      <c r="Q90">
        <v>2020</v>
      </c>
      <c r="R90">
        <v>202409</v>
      </c>
      <c r="S90" t="s">
        <v>433</v>
      </c>
      <c r="T90" t="s">
        <v>301</v>
      </c>
    </row>
    <row r="91" spans="1:20">
      <c r="A91" t="s">
        <v>454</v>
      </c>
      <c r="B91" t="s">
        <v>109</v>
      </c>
      <c r="C91" t="s">
        <v>455</v>
      </c>
      <c r="D91" t="s">
        <v>23</v>
      </c>
      <c r="E91" t="s">
        <v>51</v>
      </c>
      <c r="F91" t="s">
        <v>103</v>
      </c>
      <c r="G91">
        <v>74900</v>
      </c>
      <c r="H91" t="s">
        <v>111</v>
      </c>
      <c r="I91" t="s">
        <v>456</v>
      </c>
      <c r="J91" t="s">
        <v>457</v>
      </c>
      <c r="K91" t="s">
        <v>114</v>
      </c>
      <c r="L91" t="s">
        <v>44</v>
      </c>
      <c r="M91" t="s">
        <v>115</v>
      </c>
      <c r="O91" t="s">
        <v>47</v>
      </c>
      <c r="P91">
        <v>3000</v>
      </c>
      <c r="Q91">
        <v>2024</v>
      </c>
      <c r="R91">
        <v>202409</v>
      </c>
      <c r="S91" t="s">
        <v>433</v>
      </c>
      <c r="T91" t="s">
        <v>301</v>
      </c>
    </row>
    <row r="92" spans="1:20">
      <c r="A92" t="s">
        <v>458</v>
      </c>
      <c r="B92" t="s">
        <v>21</v>
      </c>
      <c r="C92" t="s">
        <v>459</v>
      </c>
      <c r="D92" t="s">
        <v>23</v>
      </c>
      <c r="E92" t="s">
        <v>24</v>
      </c>
      <c r="F92" t="s">
        <v>25</v>
      </c>
      <c r="G92">
        <v>19900</v>
      </c>
      <c r="H92" t="s">
        <v>26</v>
      </c>
      <c r="I92" t="s">
        <v>460</v>
      </c>
      <c r="J92" t="s">
        <v>461</v>
      </c>
      <c r="K92" t="s">
        <v>29</v>
      </c>
      <c r="L92" t="s">
        <v>30</v>
      </c>
      <c r="M92" t="s">
        <v>31</v>
      </c>
      <c r="N92" t="s">
        <v>32</v>
      </c>
      <c r="O92" t="s">
        <v>33</v>
      </c>
      <c r="P92">
        <v>21000</v>
      </c>
      <c r="Q92">
        <v>2021</v>
      </c>
      <c r="R92">
        <v>202409</v>
      </c>
      <c r="S92" t="s">
        <v>433</v>
      </c>
      <c r="T92" t="s">
        <v>301</v>
      </c>
    </row>
    <row r="93" spans="1:20">
      <c r="A93" t="s">
        <v>462</v>
      </c>
      <c r="B93" t="s">
        <v>37</v>
      </c>
      <c r="C93" t="s">
        <v>463</v>
      </c>
      <c r="D93" t="s">
        <v>23</v>
      </c>
      <c r="E93" t="s">
        <v>24</v>
      </c>
      <c r="F93" t="s">
        <v>25</v>
      </c>
      <c r="G93">
        <v>18500</v>
      </c>
      <c r="H93" t="s">
        <v>26</v>
      </c>
      <c r="I93" t="s">
        <v>464</v>
      </c>
      <c r="J93" t="s">
        <v>465</v>
      </c>
      <c r="K93" t="s">
        <v>164</v>
      </c>
      <c r="L93" t="s">
        <v>44</v>
      </c>
      <c r="M93" t="s">
        <v>31</v>
      </c>
      <c r="N93" t="s">
        <v>32</v>
      </c>
      <c r="O93" t="s">
        <v>65</v>
      </c>
      <c r="P93">
        <v>18000</v>
      </c>
      <c r="Q93">
        <v>2022</v>
      </c>
      <c r="R93">
        <v>202409</v>
      </c>
      <c r="S93" t="s">
        <v>433</v>
      </c>
      <c r="T93" t="s">
        <v>301</v>
      </c>
    </row>
    <row r="94" spans="1:20">
      <c r="A94" t="s">
        <v>466</v>
      </c>
      <c r="B94" t="s">
        <v>49</v>
      </c>
      <c r="C94" t="s">
        <v>467</v>
      </c>
      <c r="D94" t="s">
        <v>23</v>
      </c>
      <c r="E94" t="s">
        <v>24</v>
      </c>
      <c r="F94" t="s">
        <v>25</v>
      </c>
      <c r="G94">
        <v>17800</v>
      </c>
      <c r="H94" t="s">
        <v>26</v>
      </c>
      <c r="I94" t="s">
        <v>468</v>
      </c>
      <c r="J94" t="s">
        <v>469</v>
      </c>
      <c r="K94" t="s">
        <v>129</v>
      </c>
      <c r="L94" t="s">
        <v>81</v>
      </c>
      <c r="M94" t="s">
        <v>31</v>
      </c>
      <c r="N94" t="s">
        <v>169</v>
      </c>
      <c r="O94" t="s">
        <v>56</v>
      </c>
      <c r="P94">
        <v>16000</v>
      </c>
      <c r="Q94">
        <v>2022</v>
      </c>
      <c r="R94">
        <v>202409</v>
      </c>
      <c r="S94" t="s">
        <v>433</v>
      </c>
      <c r="T94" t="s">
        <v>301</v>
      </c>
    </row>
    <row r="95" spans="1:20">
      <c r="A95" t="s">
        <v>470</v>
      </c>
      <c r="B95" t="s">
        <v>59</v>
      </c>
      <c r="C95" t="s">
        <v>471</v>
      </c>
      <c r="D95" t="s">
        <v>258</v>
      </c>
      <c r="E95" t="s">
        <v>24</v>
      </c>
      <c r="F95" t="s">
        <v>25</v>
      </c>
      <c r="G95">
        <v>23900</v>
      </c>
      <c r="H95" t="s">
        <v>26</v>
      </c>
      <c r="I95" t="s">
        <v>472</v>
      </c>
      <c r="J95" t="s">
        <v>473</v>
      </c>
      <c r="K95" t="s">
        <v>63</v>
      </c>
      <c r="L95" t="s">
        <v>44</v>
      </c>
      <c r="M95" t="s">
        <v>45</v>
      </c>
      <c r="N95" t="s">
        <v>169</v>
      </c>
      <c r="O95" t="s">
        <v>398</v>
      </c>
      <c r="P95">
        <v>14000</v>
      </c>
      <c r="Q95">
        <v>2022</v>
      </c>
      <c r="R95">
        <v>202409</v>
      </c>
      <c r="S95" t="s">
        <v>433</v>
      </c>
      <c r="T95" t="s">
        <v>301</v>
      </c>
    </row>
    <row r="96" spans="1:20">
      <c r="A96" t="s">
        <v>474</v>
      </c>
      <c r="B96" t="s">
        <v>75</v>
      </c>
      <c r="C96" t="s">
        <v>475</v>
      </c>
      <c r="D96" t="s">
        <v>68</v>
      </c>
      <c r="E96" t="s">
        <v>77</v>
      </c>
      <c r="F96" t="s">
        <v>25</v>
      </c>
      <c r="G96">
        <v>26800</v>
      </c>
      <c r="H96" t="s">
        <v>52</v>
      </c>
      <c r="I96" t="s">
        <v>476</v>
      </c>
      <c r="J96" t="s">
        <v>477</v>
      </c>
      <c r="K96" t="s">
        <v>137</v>
      </c>
      <c r="L96" t="s">
        <v>81</v>
      </c>
      <c r="M96" t="s">
        <v>31</v>
      </c>
      <c r="N96" t="s">
        <v>145</v>
      </c>
      <c r="O96" t="s">
        <v>318</v>
      </c>
      <c r="P96">
        <v>17000</v>
      </c>
      <c r="Q96">
        <v>2022</v>
      </c>
      <c r="R96">
        <v>202409</v>
      </c>
      <c r="S96" t="s">
        <v>433</v>
      </c>
      <c r="T96" t="s">
        <v>301</v>
      </c>
    </row>
    <row r="97" spans="1:20">
      <c r="A97" t="s">
        <v>478</v>
      </c>
      <c r="B97" t="s">
        <v>85</v>
      </c>
      <c r="C97" t="s">
        <v>479</v>
      </c>
      <c r="D97" t="s">
        <v>68</v>
      </c>
      <c r="E97" t="s">
        <v>77</v>
      </c>
      <c r="F97" t="s">
        <v>25</v>
      </c>
      <c r="G97">
        <v>22900</v>
      </c>
      <c r="H97" t="s">
        <v>26</v>
      </c>
      <c r="I97" t="s">
        <v>480</v>
      </c>
      <c r="J97" t="s">
        <v>481</v>
      </c>
      <c r="K97" t="s">
        <v>92</v>
      </c>
      <c r="L97" t="s">
        <v>93</v>
      </c>
      <c r="M97" t="s">
        <v>31</v>
      </c>
      <c r="N97" t="s">
        <v>482</v>
      </c>
      <c r="O97" t="s">
        <v>47</v>
      </c>
      <c r="P97">
        <v>19000</v>
      </c>
      <c r="Q97">
        <v>2021</v>
      </c>
      <c r="R97">
        <v>202409</v>
      </c>
      <c r="S97" t="s">
        <v>433</v>
      </c>
      <c r="T97" t="s">
        <v>301</v>
      </c>
    </row>
    <row r="98" spans="1:20">
      <c r="A98" t="s">
        <v>483</v>
      </c>
      <c r="B98" t="s">
        <v>96</v>
      </c>
      <c r="C98" t="s">
        <v>484</v>
      </c>
      <c r="D98" t="s">
        <v>23</v>
      </c>
      <c r="E98" t="s">
        <v>24</v>
      </c>
      <c r="F98" t="s">
        <v>25</v>
      </c>
      <c r="G98">
        <v>16500</v>
      </c>
      <c r="H98" t="s">
        <v>26</v>
      </c>
      <c r="I98" t="s">
        <v>485</v>
      </c>
      <c r="J98" t="s">
        <v>486</v>
      </c>
      <c r="K98" t="s">
        <v>99</v>
      </c>
      <c r="L98" t="s">
        <v>93</v>
      </c>
      <c r="M98" t="s">
        <v>31</v>
      </c>
      <c r="N98" t="s">
        <v>145</v>
      </c>
      <c r="O98" t="s">
        <v>65</v>
      </c>
      <c r="P98">
        <v>15000</v>
      </c>
      <c r="Q98">
        <v>2022</v>
      </c>
      <c r="R98">
        <v>202409</v>
      </c>
      <c r="S98" t="s">
        <v>433</v>
      </c>
      <c r="T98" t="s">
        <v>301</v>
      </c>
    </row>
    <row r="99" spans="1:20">
      <c r="A99" t="s">
        <v>487</v>
      </c>
      <c r="B99" t="s">
        <v>101</v>
      </c>
      <c r="C99" t="s">
        <v>488</v>
      </c>
      <c r="D99" t="s">
        <v>258</v>
      </c>
      <c r="E99" t="s">
        <v>489</v>
      </c>
      <c r="F99" t="s">
        <v>103</v>
      </c>
      <c r="G99">
        <v>149900</v>
      </c>
      <c r="H99" t="s">
        <v>386</v>
      </c>
      <c r="I99" t="s">
        <v>490</v>
      </c>
      <c r="J99" t="s">
        <v>491</v>
      </c>
      <c r="K99" t="s">
        <v>106</v>
      </c>
      <c r="L99" t="s">
        <v>30</v>
      </c>
      <c r="M99" t="s">
        <v>125</v>
      </c>
      <c r="N99" t="s">
        <v>32</v>
      </c>
      <c r="O99" t="s">
        <v>33</v>
      </c>
      <c r="P99">
        <v>8000</v>
      </c>
      <c r="Q99">
        <v>2023</v>
      </c>
      <c r="R99">
        <v>202409</v>
      </c>
      <c r="S99" t="s">
        <v>433</v>
      </c>
      <c r="T99" t="s">
        <v>301</v>
      </c>
    </row>
    <row r="100" spans="1:20">
      <c r="A100" t="s">
        <v>492</v>
      </c>
      <c r="B100" t="s">
        <v>21</v>
      </c>
      <c r="C100" t="s">
        <v>493</v>
      </c>
      <c r="D100" t="s">
        <v>68</v>
      </c>
      <c r="E100" t="s">
        <v>77</v>
      </c>
      <c r="F100" t="s">
        <v>25</v>
      </c>
      <c r="G100">
        <v>24900</v>
      </c>
      <c r="H100" t="s">
        <v>26</v>
      </c>
      <c r="I100" t="s">
        <v>494</v>
      </c>
      <c r="J100" t="s">
        <v>495</v>
      </c>
      <c r="K100" t="s">
        <v>120</v>
      </c>
      <c r="L100" t="s">
        <v>30</v>
      </c>
      <c r="M100" t="s">
        <v>31</v>
      </c>
      <c r="N100" t="s">
        <v>46</v>
      </c>
      <c r="O100" t="s">
        <v>83</v>
      </c>
      <c r="P100">
        <v>20000</v>
      </c>
      <c r="Q100">
        <v>2021</v>
      </c>
      <c r="R100">
        <v>202410</v>
      </c>
      <c r="S100" t="s">
        <v>496</v>
      </c>
      <c r="T100" t="s">
        <v>497</v>
      </c>
    </row>
    <row r="101" spans="1:20">
      <c r="A101" t="s">
        <v>498</v>
      </c>
      <c r="B101" t="s">
        <v>37</v>
      </c>
      <c r="C101" t="s">
        <v>499</v>
      </c>
      <c r="D101" t="s">
        <v>68</v>
      </c>
      <c r="E101" t="s">
        <v>77</v>
      </c>
      <c r="F101" t="s">
        <v>25</v>
      </c>
      <c r="G101">
        <v>26500</v>
      </c>
      <c r="H101" t="s">
        <v>52</v>
      </c>
      <c r="I101" t="s">
        <v>500</v>
      </c>
      <c r="J101" t="s">
        <v>501</v>
      </c>
      <c r="K101" t="s">
        <v>43</v>
      </c>
      <c r="L101" t="s">
        <v>44</v>
      </c>
      <c r="M101" t="s">
        <v>31</v>
      </c>
      <c r="N101" t="s">
        <v>64</v>
      </c>
      <c r="O101" t="s">
        <v>73</v>
      </c>
      <c r="P101">
        <v>18000</v>
      </c>
      <c r="Q101">
        <v>2022</v>
      </c>
      <c r="R101">
        <v>202410</v>
      </c>
      <c r="S101" t="s">
        <v>496</v>
      </c>
      <c r="T101" t="s">
        <v>497</v>
      </c>
    </row>
    <row r="102" spans="1:20">
      <c r="A102" t="s">
        <v>502</v>
      </c>
      <c r="B102" t="s">
        <v>49</v>
      </c>
      <c r="C102" t="s">
        <v>503</v>
      </c>
      <c r="D102" t="s">
        <v>68</v>
      </c>
      <c r="E102" t="s">
        <v>77</v>
      </c>
      <c r="F102" t="s">
        <v>25</v>
      </c>
      <c r="G102">
        <v>21800</v>
      </c>
      <c r="H102" t="s">
        <v>26</v>
      </c>
      <c r="I102" t="s">
        <v>504</v>
      </c>
      <c r="J102" t="s">
        <v>505</v>
      </c>
      <c r="K102" t="s">
        <v>129</v>
      </c>
      <c r="L102" t="s">
        <v>81</v>
      </c>
      <c r="M102" t="s">
        <v>45</v>
      </c>
      <c r="N102" t="s">
        <v>169</v>
      </c>
      <c r="O102" t="s">
        <v>318</v>
      </c>
      <c r="P102">
        <v>16000</v>
      </c>
      <c r="Q102">
        <v>2022</v>
      </c>
      <c r="R102">
        <v>202410</v>
      </c>
      <c r="S102" t="s">
        <v>496</v>
      </c>
      <c r="T102" t="s">
        <v>497</v>
      </c>
    </row>
    <row r="103" spans="1:20">
      <c r="A103" t="s">
        <v>506</v>
      </c>
      <c r="B103" t="s">
        <v>59</v>
      </c>
      <c r="C103" t="s">
        <v>507</v>
      </c>
      <c r="D103" t="s">
        <v>68</v>
      </c>
      <c r="E103" t="s">
        <v>77</v>
      </c>
      <c r="F103" t="s">
        <v>25</v>
      </c>
      <c r="G103">
        <v>24500</v>
      </c>
      <c r="H103" t="s">
        <v>26</v>
      </c>
      <c r="I103" t="s">
        <v>508</v>
      </c>
      <c r="J103" t="s">
        <v>509</v>
      </c>
      <c r="K103" t="s">
        <v>63</v>
      </c>
      <c r="L103" t="s">
        <v>44</v>
      </c>
      <c r="M103" t="s">
        <v>31</v>
      </c>
      <c r="N103" t="s">
        <v>64</v>
      </c>
      <c r="O103" t="s">
        <v>33</v>
      </c>
      <c r="P103">
        <v>15000</v>
      </c>
      <c r="Q103">
        <v>2022</v>
      </c>
      <c r="R103">
        <v>202410</v>
      </c>
      <c r="S103" t="s">
        <v>496</v>
      </c>
      <c r="T103" t="s">
        <v>497</v>
      </c>
    </row>
    <row r="104" spans="1:20">
      <c r="A104" t="s">
        <v>510</v>
      </c>
      <c r="B104" t="s">
        <v>75</v>
      </c>
      <c r="C104" t="s">
        <v>511</v>
      </c>
      <c r="D104" t="s">
        <v>68</v>
      </c>
      <c r="E104" t="s">
        <v>77</v>
      </c>
      <c r="F104" t="s">
        <v>25</v>
      </c>
      <c r="G104">
        <v>27900</v>
      </c>
      <c r="H104" t="s">
        <v>52</v>
      </c>
      <c r="I104" t="s">
        <v>512</v>
      </c>
      <c r="J104" t="s">
        <v>513</v>
      </c>
      <c r="K104" t="s">
        <v>80</v>
      </c>
      <c r="L104" t="s">
        <v>81</v>
      </c>
      <c r="M104" t="s">
        <v>31</v>
      </c>
      <c r="N104" t="s">
        <v>514</v>
      </c>
      <c r="O104" t="s">
        <v>56</v>
      </c>
      <c r="P104">
        <v>13000</v>
      </c>
      <c r="Q104">
        <v>2023</v>
      </c>
      <c r="R104">
        <v>202410</v>
      </c>
      <c r="S104" t="s">
        <v>496</v>
      </c>
      <c r="T104" t="s">
        <v>497</v>
      </c>
    </row>
    <row r="105" spans="1:20">
      <c r="A105" t="s">
        <v>515</v>
      </c>
      <c r="B105" t="s">
        <v>85</v>
      </c>
      <c r="C105" t="s">
        <v>516</v>
      </c>
      <c r="D105" t="s">
        <v>68</v>
      </c>
      <c r="E105" t="s">
        <v>77</v>
      </c>
      <c r="F105" t="s">
        <v>25</v>
      </c>
      <c r="G105">
        <v>23900</v>
      </c>
      <c r="H105" t="s">
        <v>26</v>
      </c>
      <c r="I105" t="s">
        <v>517</v>
      </c>
      <c r="J105" t="s">
        <v>518</v>
      </c>
      <c r="K105" t="s">
        <v>92</v>
      </c>
      <c r="L105" t="s">
        <v>93</v>
      </c>
      <c r="M105" t="s">
        <v>31</v>
      </c>
      <c r="N105" t="s">
        <v>482</v>
      </c>
      <c r="O105" t="s">
        <v>177</v>
      </c>
      <c r="P105">
        <v>14000</v>
      </c>
      <c r="Q105">
        <v>2022</v>
      </c>
      <c r="R105">
        <v>202410</v>
      </c>
      <c r="S105" t="s">
        <v>496</v>
      </c>
      <c r="T105" t="s">
        <v>497</v>
      </c>
    </row>
    <row r="106" spans="1:20">
      <c r="A106" t="s">
        <v>519</v>
      </c>
      <c r="B106" t="s">
        <v>96</v>
      </c>
      <c r="C106" t="s">
        <v>520</v>
      </c>
      <c r="D106" t="s">
        <v>68</v>
      </c>
      <c r="E106" t="s">
        <v>77</v>
      </c>
      <c r="F106" t="s">
        <v>25</v>
      </c>
      <c r="G106">
        <v>25800</v>
      </c>
      <c r="H106" t="s">
        <v>52</v>
      </c>
      <c r="I106" t="s">
        <v>521</v>
      </c>
      <c r="J106" t="s">
        <v>369</v>
      </c>
      <c r="K106" t="s">
        <v>187</v>
      </c>
      <c r="L106" t="s">
        <v>93</v>
      </c>
      <c r="M106" t="s">
        <v>31</v>
      </c>
      <c r="N106" t="s">
        <v>514</v>
      </c>
      <c r="O106" t="s">
        <v>47</v>
      </c>
      <c r="P106">
        <v>17000</v>
      </c>
      <c r="Q106">
        <v>2022</v>
      </c>
      <c r="R106">
        <v>202410</v>
      </c>
      <c r="S106" t="s">
        <v>496</v>
      </c>
      <c r="T106" t="s">
        <v>497</v>
      </c>
    </row>
    <row r="107" spans="1:20">
      <c r="A107" t="s">
        <v>522</v>
      </c>
      <c r="B107" t="s">
        <v>109</v>
      </c>
      <c r="C107" t="s">
        <v>523</v>
      </c>
      <c r="D107" t="s">
        <v>23</v>
      </c>
      <c r="E107" t="s">
        <v>51</v>
      </c>
      <c r="F107" t="s">
        <v>103</v>
      </c>
      <c r="G107">
        <v>64900</v>
      </c>
      <c r="H107" t="s">
        <v>111</v>
      </c>
      <c r="I107" t="s">
        <v>524</v>
      </c>
      <c r="J107" t="s">
        <v>525</v>
      </c>
      <c r="K107" t="s">
        <v>114</v>
      </c>
      <c r="L107" t="s">
        <v>44</v>
      </c>
      <c r="M107" t="s">
        <v>115</v>
      </c>
      <c r="O107" t="s">
        <v>56</v>
      </c>
      <c r="P107">
        <v>2500</v>
      </c>
      <c r="Q107">
        <v>2024</v>
      </c>
      <c r="R107">
        <v>202410</v>
      </c>
      <c r="S107" t="s">
        <v>496</v>
      </c>
      <c r="T107" t="s">
        <v>497</v>
      </c>
    </row>
    <row r="108" spans="1:20">
      <c r="A108" t="s">
        <v>526</v>
      </c>
      <c r="B108" t="s">
        <v>21</v>
      </c>
      <c r="C108" t="s">
        <v>527</v>
      </c>
      <c r="D108" t="s">
        <v>23</v>
      </c>
      <c r="E108" t="s">
        <v>51</v>
      </c>
      <c r="F108" t="s">
        <v>25</v>
      </c>
      <c r="G108">
        <v>33500</v>
      </c>
      <c r="H108" t="s">
        <v>52</v>
      </c>
      <c r="I108" t="s">
        <v>528</v>
      </c>
      <c r="J108" t="s">
        <v>529</v>
      </c>
      <c r="K108" t="s">
        <v>29</v>
      </c>
      <c r="L108" t="s">
        <v>30</v>
      </c>
      <c r="M108" t="s">
        <v>125</v>
      </c>
      <c r="N108" t="s">
        <v>32</v>
      </c>
      <c r="O108" t="s">
        <v>47</v>
      </c>
      <c r="P108">
        <v>11000</v>
      </c>
      <c r="Q108">
        <v>2023</v>
      </c>
      <c r="R108">
        <v>202410</v>
      </c>
      <c r="S108" t="s">
        <v>496</v>
      </c>
      <c r="T108" t="s">
        <v>497</v>
      </c>
    </row>
    <row r="109" spans="1:20">
      <c r="A109" t="s">
        <v>530</v>
      </c>
      <c r="B109" t="s">
        <v>37</v>
      </c>
      <c r="C109" t="s">
        <v>531</v>
      </c>
      <c r="D109" t="s">
        <v>23</v>
      </c>
      <c r="E109" t="s">
        <v>51</v>
      </c>
      <c r="F109" t="s">
        <v>25</v>
      </c>
      <c r="G109">
        <v>58500</v>
      </c>
      <c r="H109" t="s">
        <v>89</v>
      </c>
      <c r="I109" t="s">
        <v>532</v>
      </c>
      <c r="J109" t="s">
        <v>533</v>
      </c>
      <c r="K109" t="s">
        <v>43</v>
      </c>
      <c r="L109" t="s">
        <v>44</v>
      </c>
      <c r="M109" t="s">
        <v>534</v>
      </c>
      <c r="O109" t="s">
        <v>33</v>
      </c>
      <c r="P109">
        <v>5000</v>
      </c>
      <c r="Q109">
        <v>2024</v>
      </c>
      <c r="R109">
        <v>202410</v>
      </c>
      <c r="S109" t="s">
        <v>496</v>
      </c>
      <c r="T109" t="s">
        <v>497</v>
      </c>
    </row>
    <row r="110" spans="1:20">
      <c r="A110" t="s">
        <v>535</v>
      </c>
      <c r="B110" t="s">
        <v>49</v>
      </c>
      <c r="C110" t="s">
        <v>536</v>
      </c>
      <c r="D110" t="s">
        <v>23</v>
      </c>
      <c r="E110" t="s">
        <v>51</v>
      </c>
      <c r="F110" t="s">
        <v>25</v>
      </c>
      <c r="G110">
        <v>31900</v>
      </c>
      <c r="H110" t="s">
        <v>52</v>
      </c>
      <c r="I110" t="s">
        <v>537</v>
      </c>
      <c r="J110" t="s">
        <v>538</v>
      </c>
      <c r="K110" t="s">
        <v>206</v>
      </c>
      <c r="L110" t="s">
        <v>81</v>
      </c>
      <c r="M110" t="s">
        <v>115</v>
      </c>
      <c r="O110" t="s">
        <v>177</v>
      </c>
      <c r="P110">
        <v>9000</v>
      </c>
      <c r="Q110">
        <v>2023</v>
      </c>
      <c r="R110">
        <v>202410</v>
      </c>
      <c r="S110" t="s">
        <v>496</v>
      </c>
      <c r="T110" t="s">
        <v>497</v>
      </c>
    </row>
    <row r="111" spans="1:20">
      <c r="A111" t="s">
        <v>539</v>
      </c>
      <c r="B111" t="s">
        <v>59</v>
      </c>
      <c r="C111" t="s">
        <v>540</v>
      </c>
      <c r="D111" t="s">
        <v>23</v>
      </c>
      <c r="E111" t="s">
        <v>51</v>
      </c>
      <c r="F111" t="s">
        <v>25</v>
      </c>
      <c r="G111">
        <v>29800</v>
      </c>
      <c r="H111" t="s">
        <v>52</v>
      </c>
      <c r="I111" t="s">
        <v>541</v>
      </c>
      <c r="J111" t="s">
        <v>542</v>
      </c>
      <c r="K111" t="s">
        <v>63</v>
      </c>
      <c r="L111" t="s">
        <v>44</v>
      </c>
      <c r="M111" t="s">
        <v>115</v>
      </c>
      <c r="O111" t="s">
        <v>83</v>
      </c>
      <c r="P111">
        <v>7000</v>
      </c>
      <c r="Q111">
        <v>2023</v>
      </c>
      <c r="R111">
        <v>202410</v>
      </c>
      <c r="S111" t="s">
        <v>496</v>
      </c>
      <c r="T111" t="s">
        <v>497</v>
      </c>
    </row>
    <row r="112" spans="1:20">
      <c r="A112" t="s">
        <v>543</v>
      </c>
      <c r="B112" t="s">
        <v>75</v>
      </c>
      <c r="C112" t="s">
        <v>544</v>
      </c>
      <c r="D112" t="s">
        <v>68</v>
      </c>
      <c r="E112" t="s">
        <v>77</v>
      </c>
      <c r="F112" t="s">
        <v>25</v>
      </c>
      <c r="G112">
        <v>45900</v>
      </c>
      <c r="H112" t="s">
        <v>89</v>
      </c>
      <c r="I112" t="s">
        <v>545</v>
      </c>
      <c r="J112" t="s">
        <v>546</v>
      </c>
      <c r="K112" t="s">
        <v>80</v>
      </c>
      <c r="L112" t="s">
        <v>81</v>
      </c>
      <c r="M112" t="s">
        <v>547</v>
      </c>
      <c r="N112" t="s">
        <v>64</v>
      </c>
      <c r="O112" t="s">
        <v>73</v>
      </c>
      <c r="P112">
        <v>6000</v>
      </c>
      <c r="Q112">
        <v>2024</v>
      </c>
      <c r="R112">
        <v>202410</v>
      </c>
      <c r="S112" t="s">
        <v>496</v>
      </c>
      <c r="T112" t="s">
        <v>497</v>
      </c>
    </row>
    <row r="113" spans="1:20">
      <c r="A113" t="s">
        <v>548</v>
      </c>
      <c r="B113" t="s">
        <v>85</v>
      </c>
      <c r="C113" t="s">
        <v>549</v>
      </c>
      <c r="D113" t="s">
        <v>87</v>
      </c>
      <c r="E113" t="s">
        <v>88</v>
      </c>
      <c r="F113" t="s">
        <v>25</v>
      </c>
      <c r="G113">
        <v>55900</v>
      </c>
      <c r="H113" t="s">
        <v>89</v>
      </c>
      <c r="I113" t="s">
        <v>550</v>
      </c>
      <c r="J113" t="s">
        <v>551</v>
      </c>
      <c r="K113" t="s">
        <v>92</v>
      </c>
      <c r="L113" t="s">
        <v>93</v>
      </c>
      <c r="M113" t="s">
        <v>115</v>
      </c>
      <c r="O113" t="s">
        <v>33</v>
      </c>
      <c r="P113">
        <v>4000</v>
      </c>
      <c r="Q113">
        <v>2024</v>
      </c>
      <c r="R113">
        <v>202410</v>
      </c>
      <c r="S113" t="s">
        <v>496</v>
      </c>
      <c r="T113" t="s">
        <v>497</v>
      </c>
    </row>
    <row r="114" spans="1:20">
      <c r="A114" t="s">
        <v>552</v>
      </c>
      <c r="B114" t="s">
        <v>96</v>
      </c>
      <c r="C114" t="s">
        <v>553</v>
      </c>
      <c r="D114" t="s">
        <v>23</v>
      </c>
      <c r="E114" t="s">
        <v>51</v>
      </c>
      <c r="F114" t="s">
        <v>25</v>
      </c>
      <c r="G114">
        <v>26900</v>
      </c>
      <c r="H114" t="s">
        <v>52</v>
      </c>
      <c r="I114" t="s">
        <v>554</v>
      </c>
      <c r="J114" t="s">
        <v>555</v>
      </c>
      <c r="K114" t="s">
        <v>99</v>
      </c>
      <c r="L114" t="s">
        <v>93</v>
      </c>
      <c r="M114" t="s">
        <v>115</v>
      </c>
      <c r="O114" t="s">
        <v>65</v>
      </c>
      <c r="P114">
        <v>8000</v>
      </c>
      <c r="Q114">
        <v>2023</v>
      </c>
      <c r="R114">
        <v>202410</v>
      </c>
      <c r="S114" t="s">
        <v>496</v>
      </c>
      <c r="T114" t="s">
        <v>497</v>
      </c>
    </row>
    <row r="115" spans="1:20">
      <c r="A115" t="s">
        <v>556</v>
      </c>
      <c r="B115" t="s">
        <v>101</v>
      </c>
      <c r="C115" t="s">
        <v>557</v>
      </c>
      <c r="D115" t="s">
        <v>68</v>
      </c>
      <c r="E115" t="s">
        <v>77</v>
      </c>
      <c r="F115" t="s">
        <v>103</v>
      </c>
      <c r="G115">
        <v>83900</v>
      </c>
      <c r="H115" t="s">
        <v>111</v>
      </c>
      <c r="I115" t="s">
        <v>558</v>
      </c>
      <c r="J115" t="s">
        <v>559</v>
      </c>
      <c r="K115" t="s">
        <v>106</v>
      </c>
      <c r="L115" t="s">
        <v>30</v>
      </c>
      <c r="M115" t="s">
        <v>115</v>
      </c>
      <c r="O115" t="s">
        <v>47</v>
      </c>
      <c r="P115">
        <v>5000</v>
      </c>
      <c r="Q115">
        <v>2024</v>
      </c>
      <c r="R115">
        <v>202411</v>
      </c>
      <c r="S115" t="s">
        <v>560</v>
      </c>
      <c r="T115" t="s">
        <v>497</v>
      </c>
    </row>
    <row r="116" spans="1:20">
      <c r="A116" t="s">
        <v>561</v>
      </c>
      <c r="B116" t="s">
        <v>21</v>
      </c>
      <c r="C116" t="s">
        <v>562</v>
      </c>
      <c r="D116" t="s">
        <v>68</v>
      </c>
      <c r="E116" t="s">
        <v>77</v>
      </c>
      <c r="F116" t="s">
        <v>25</v>
      </c>
      <c r="G116">
        <v>47900</v>
      </c>
      <c r="H116" t="s">
        <v>89</v>
      </c>
      <c r="I116" t="s">
        <v>563</v>
      </c>
      <c r="J116" t="s">
        <v>564</v>
      </c>
      <c r="K116" t="s">
        <v>120</v>
      </c>
      <c r="L116" t="s">
        <v>30</v>
      </c>
      <c r="M116" t="s">
        <v>115</v>
      </c>
      <c r="O116" t="s">
        <v>56</v>
      </c>
      <c r="P116">
        <v>3000</v>
      </c>
      <c r="Q116">
        <v>2024</v>
      </c>
      <c r="R116">
        <v>202411</v>
      </c>
      <c r="S116" t="s">
        <v>560</v>
      </c>
      <c r="T116" t="s">
        <v>497</v>
      </c>
    </row>
    <row r="117" spans="1:20">
      <c r="A117" t="s">
        <v>565</v>
      </c>
      <c r="B117" t="s">
        <v>37</v>
      </c>
      <c r="C117" t="s">
        <v>566</v>
      </c>
      <c r="D117" t="s">
        <v>68</v>
      </c>
      <c r="E117" t="s">
        <v>77</v>
      </c>
      <c r="F117" t="s">
        <v>25</v>
      </c>
      <c r="G117">
        <v>42500</v>
      </c>
      <c r="H117" t="s">
        <v>89</v>
      </c>
      <c r="I117" t="s">
        <v>567</v>
      </c>
      <c r="J117" t="s">
        <v>568</v>
      </c>
      <c r="K117" t="s">
        <v>43</v>
      </c>
      <c r="L117" t="s">
        <v>44</v>
      </c>
      <c r="M117" t="s">
        <v>115</v>
      </c>
      <c r="O117" t="s">
        <v>33</v>
      </c>
      <c r="P117">
        <v>4500</v>
      </c>
      <c r="Q117">
        <v>2024</v>
      </c>
      <c r="R117">
        <v>202411</v>
      </c>
      <c r="S117" t="s">
        <v>560</v>
      </c>
      <c r="T117" t="s">
        <v>497</v>
      </c>
    </row>
    <row r="118" spans="1:20">
      <c r="A118" t="s">
        <v>569</v>
      </c>
      <c r="B118" t="s">
        <v>49</v>
      </c>
      <c r="C118" t="s">
        <v>570</v>
      </c>
      <c r="D118" t="s">
        <v>68</v>
      </c>
      <c r="E118" t="s">
        <v>77</v>
      </c>
      <c r="F118" t="s">
        <v>25</v>
      </c>
      <c r="G118">
        <v>43900</v>
      </c>
      <c r="H118" t="s">
        <v>89</v>
      </c>
      <c r="I118" t="s">
        <v>571</v>
      </c>
      <c r="J118" t="s">
        <v>572</v>
      </c>
      <c r="K118" t="s">
        <v>129</v>
      </c>
      <c r="L118" t="s">
        <v>81</v>
      </c>
      <c r="M118" t="s">
        <v>573</v>
      </c>
      <c r="O118" t="s">
        <v>73</v>
      </c>
      <c r="P118">
        <v>3500</v>
      </c>
      <c r="Q118">
        <v>2024</v>
      </c>
      <c r="R118">
        <v>202411</v>
      </c>
      <c r="S118" t="s">
        <v>560</v>
      </c>
      <c r="T118" t="s">
        <v>497</v>
      </c>
    </row>
    <row r="119" spans="1:20">
      <c r="A119" t="s">
        <v>574</v>
      </c>
      <c r="B119" t="s">
        <v>59</v>
      </c>
      <c r="C119" t="s">
        <v>575</v>
      </c>
      <c r="D119" t="s">
        <v>68</v>
      </c>
      <c r="E119" t="s">
        <v>77</v>
      </c>
      <c r="F119" t="s">
        <v>25</v>
      </c>
      <c r="G119">
        <v>44500</v>
      </c>
      <c r="H119" t="s">
        <v>89</v>
      </c>
      <c r="I119" t="s">
        <v>576</v>
      </c>
      <c r="J119" t="s">
        <v>577</v>
      </c>
      <c r="K119" t="s">
        <v>63</v>
      </c>
      <c r="L119" t="s">
        <v>44</v>
      </c>
      <c r="M119" t="s">
        <v>115</v>
      </c>
      <c r="O119" t="s">
        <v>47</v>
      </c>
      <c r="P119">
        <v>5500</v>
      </c>
      <c r="Q119">
        <v>2023</v>
      </c>
      <c r="R119">
        <v>202411</v>
      </c>
      <c r="S119" t="s">
        <v>560</v>
      </c>
      <c r="T119" t="s">
        <v>497</v>
      </c>
    </row>
    <row r="120" spans="1:20">
      <c r="A120" t="s">
        <v>578</v>
      </c>
      <c r="B120" t="s">
        <v>75</v>
      </c>
      <c r="C120" t="s">
        <v>579</v>
      </c>
      <c r="D120" t="s">
        <v>68</v>
      </c>
      <c r="E120" t="s">
        <v>77</v>
      </c>
      <c r="F120" t="s">
        <v>25</v>
      </c>
      <c r="G120">
        <v>47800</v>
      </c>
      <c r="H120" t="s">
        <v>89</v>
      </c>
      <c r="I120" t="s">
        <v>580</v>
      </c>
      <c r="J120" t="s">
        <v>581</v>
      </c>
      <c r="K120" t="s">
        <v>137</v>
      </c>
      <c r="L120" t="s">
        <v>81</v>
      </c>
      <c r="M120" t="s">
        <v>31</v>
      </c>
      <c r="N120" t="s">
        <v>82</v>
      </c>
      <c r="O120" t="s">
        <v>83</v>
      </c>
      <c r="P120">
        <v>12000</v>
      </c>
      <c r="Q120">
        <v>2023</v>
      </c>
      <c r="R120">
        <v>202411</v>
      </c>
      <c r="S120" t="s">
        <v>560</v>
      </c>
      <c r="T120" t="s">
        <v>497</v>
      </c>
    </row>
    <row r="121" spans="1:20">
      <c r="A121" t="s">
        <v>582</v>
      </c>
      <c r="B121" t="s">
        <v>85</v>
      </c>
      <c r="C121" t="s">
        <v>583</v>
      </c>
      <c r="D121" t="s">
        <v>87</v>
      </c>
      <c r="E121" t="s">
        <v>88</v>
      </c>
      <c r="F121" t="s">
        <v>25</v>
      </c>
      <c r="G121">
        <v>24900</v>
      </c>
      <c r="H121" t="s">
        <v>26</v>
      </c>
      <c r="I121" t="s">
        <v>584</v>
      </c>
      <c r="J121" t="s">
        <v>585</v>
      </c>
      <c r="K121" t="s">
        <v>92</v>
      </c>
      <c r="L121" t="s">
        <v>93</v>
      </c>
      <c r="M121" t="s">
        <v>31</v>
      </c>
      <c r="N121" t="s">
        <v>64</v>
      </c>
      <c r="O121" t="s">
        <v>318</v>
      </c>
      <c r="P121">
        <v>11000</v>
      </c>
      <c r="Q121">
        <v>2023</v>
      </c>
      <c r="R121">
        <v>202411</v>
      </c>
      <c r="S121" t="s">
        <v>560</v>
      </c>
      <c r="T121" t="s">
        <v>497</v>
      </c>
    </row>
    <row r="122" spans="1:20">
      <c r="A122" t="s">
        <v>586</v>
      </c>
      <c r="B122" t="s">
        <v>96</v>
      </c>
      <c r="C122" t="s">
        <v>587</v>
      </c>
      <c r="D122" t="s">
        <v>258</v>
      </c>
      <c r="E122" t="s">
        <v>259</v>
      </c>
      <c r="F122" t="s">
        <v>25</v>
      </c>
      <c r="G122">
        <v>65900</v>
      </c>
      <c r="H122" t="s">
        <v>111</v>
      </c>
      <c r="I122" t="s">
        <v>588</v>
      </c>
      <c r="J122" t="s">
        <v>589</v>
      </c>
      <c r="K122" t="s">
        <v>99</v>
      </c>
      <c r="L122" t="s">
        <v>93</v>
      </c>
      <c r="M122" t="s">
        <v>45</v>
      </c>
      <c r="N122" t="s">
        <v>590</v>
      </c>
      <c r="O122" t="s">
        <v>65</v>
      </c>
      <c r="P122">
        <v>7000</v>
      </c>
      <c r="Q122">
        <v>2023</v>
      </c>
      <c r="R122">
        <v>202411</v>
      </c>
      <c r="S122" t="s">
        <v>560</v>
      </c>
      <c r="T122" t="s">
        <v>497</v>
      </c>
    </row>
    <row r="123" spans="1:20">
      <c r="A123" t="s">
        <v>591</v>
      </c>
      <c r="B123" t="s">
        <v>109</v>
      </c>
      <c r="C123" t="s">
        <v>592</v>
      </c>
      <c r="D123" t="s">
        <v>23</v>
      </c>
      <c r="E123" t="s">
        <v>51</v>
      </c>
      <c r="F123" t="s">
        <v>103</v>
      </c>
      <c r="G123">
        <v>129900</v>
      </c>
      <c r="H123" t="s">
        <v>228</v>
      </c>
      <c r="I123" t="s">
        <v>593</v>
      </c>
      <c r="J123" t="s">
        <v>594</v>
      </c>
      <c r="K123" t="s">
        <v>114</v>
      </c>
      <c r="L123" t="s">
        <v>44</v>
      </c>
      <c r="M123" t="s">
        <v>115</v>
      </c>
      <c r="O123" t="s">
        <v>73</v>
      </c>
      <c r="P123">
        <v>1500</v>
      </c>
      <c r="Q123">
        <v>2024</v>
      </c>
      <c r="R123">
        <v>202411</v>
      </c>
      <c r="S123" t="s">
        <v>560</v>
      </c>
      <c r="T123" t="s">
        <v>497</v>
      </c>
    </row>
    <row r="124" spans="1:20">
      <c r="A124" t="s">
        <v>595</v>
      </c>
      <c r="B124" t="s">
        <v>21</v>
      </c>
      <c r="C124" t="s">
        <v>596</v>
      </c>
      <c r="D124" t="s">
        <v>258</v>
      </c>
      <c r="E124" t="s">
        <v>259</v>
      </c>
      <c r="F124" t="s">
        <v>25</v>
      </c>
      <c r="G124">
        <v>32900</v>
      </c>
      <c r="H124" t="s">
        <v>52</v>
      </c>
      <c r="I124" t="s">
        <v>597</v>
      </c>
      <c r="J124" t="s">
        <v>598</v>
      </c>
      <c r="K124" t="s">
        <v>29</v>
      </c>
      <c r="L124" t="s">
        <v>30</v>
      </c>
      <c r="M124" t="s">
        <v>31</v>
      </c>
      <c r="N124" t="s">
        <v>64</v>
      </c>
      <c r="O124" t="s">
        <v>33</v>
      </c>
      <c r="P124">
        <v>8000</v>
      </c>
      <c r="Q124">
        <v>2023</v>
      </c>
      <c r="R124">
        <v>202411</v>
      </c>
      <c r="S124" t="s">
        <v>560</v>
      </c>
      <c r="T124" t="s">
        <v>497</v>
      </c>
    </row>
    <row r="125" spans="1:20">
      <c r="A125" t="s">
        <v>599</v>
      </c>
      <c r="B125" t="s">
        <v>37</v>
      </c>
      <c r="C125" t="s">
        <v>600</v>
      </c>
      <c r="D125" t="s">
        <v>258</v>
      </c>
      <c r="E125" t="s">
        <v>259</v>
      </c>
      <c r="F125" t="s">
        <v>25</v>
      </c>
      <c r="G125">
        <v>31500</v>
      </c>
      <c r="H125" t="s">
        <v>52</v>
      </c>
      <c r="I125" t="s">
        <v>601</v>
      </c>
      <c r="J125" t="s">
        <v>602</v>
      </c>
      <c r="K125" t="s">
        <v>164</v>
      </c>
      <c r="L125" t="s">
        <v>44</v>
      </c>
      <c r="M125" t="s">
        <v>31</v>
      </c>
      <c r="N125" t="s">
        <v>72</v>
      </c>
      <c r="O125" t="s">
        <v>398</v>
      </c>
      <c r="P125">
        <v>6000</v>
      </c>
      <c r="Q125">
        <v>2023</v>
      </c>
      <c r="R125">
        <v>202411</v>
      </c>
      <c r="S125" t="s">
        <v>560</v>
      </c>
      <c r="T125" t="s">
        <v>497</v>
      </c>
    </row>
    <row r="126" spans="1:20">
      <c r="A126" t="s">
        <v>603</v>
      </c>
      <c r="B126" t="s">
        <v>49</v>
      </c>
      <c r="C126" t="s">
        <v>604</v>
      </c>
      <c r="D126" t="s">
        <v>258</v>
      </c>
      <c r="E126" t="s">
        <v>259</v>
      </c>
      <c r="F126" t="s">
        <v>25</v>
      </c>
      <c r="G126">
        <v>41900</v>
      </c>
      <c r="H126" t="s">
        <v>89</v>
      </c>
      <c r="I126" t="s">
        <v>605</v>
      </c>
      <c r="J126" t="s">
        <v>606</v>
      </c>
      <c r="K126" t="s">
        <v>129</v>
      </c>
      <c r="L126" t="s">
        <v>81</v>
      </c>
      <c r="M126" t="s">
        <v>31</v>
      </c>
      <c r="N126" t="s">
        <v>152</v>
      </c>
      <c r="O126" t="s">
        <v>56</v>
      </c>
      <c r="P126">
        <v>4000</v>
      </c>
      <c r="Q126">
        <v>2024</v>
      </c>
      <c r="R126">
        <v>202411</v>
      </c>
      <c r="S126" t="s">
        <v>560</v>
      </c>
      <c r="T126" t="s">
        <v>497</v>
      </c>
    </row>
    <row r="127" spans="1:20">
      <c r="A127" t="s">
        <v>607</v>
      </c>
      <c r="B127" t="s">
        <v>59</v>
      </c>
      <c r="C127" t="s">
        <v>608</v>
      </c>
      <c r="D127" t="s">
        <v>23</v>
      </c>
      <c r="E127" t="s">
        <v>51</v>
      </c>
      <c r="F127" t="s">
        <v>25</v>
      </c>
      <c r="G127">
        <v>34500</v>
      </c>
      <c r="H127" t="s">
        <v>52</v>
      </c>
      <c r="I127" t="s">
        <v>609</v>
      </c>
      <c r="J127" t="s">
        <v>610</v>
      </c>
      <c r="K127" t="s">
        <v>250</v>
      </c>
      <c r="L127" t="s">
        <v>44</v>
      </c>
      <c r="M127" t="s">
        <v>31</v>
      </c>
      <c r="N127" t="s">
        <v>64</v>
      </c>
      <c r="O127" t="s">
        <v>65</v>
      </c>
      <c r="P127">
        <v>5000</v>
      </c>
      <c r="Q127">
        <v>2024</v>
      </c>
      <c r="R127">
        <v>202411</v>
      </c>
      <c r="S127" t="s">
        <v>560</v>
      </c>
      <c r="T127" t="s">
        <v>497</v>
      </c>
    </row>
    <row r="128" spans="1:20">
      <c r="A128" t="s">
        <v>611</v>
      </c>
      <c r="B128" t="s">
        <v>75</v>
      </c>
      <c r="C128" t="s">
        <v>612</v>
      </c>
      <c r="D128" t="s">
        <v>68</v>
      </c>
      <c r="E128" t="s">
        <v>77</v>
      </c>
      <c r="F128" t="s">
        <v>25</v>
      </c>
      <c r="G128">
        <v>61900</v>
      </c>
      <c r="H128" t="s">
        <v>111</v>
      </c>
      <c r="I128" t="s">
        <v>613</v>
      </c>
      <c r="J128" t="s">
        <v>614</v>
      </c>
      <c r="K128" t="s">
        <v>80</v>
      </c>
      <c r="L128" t="s">
        <v>81</v>
      </c>
      <c r="M128" t="s">
        <v>45</v>
      </c>
      <c r="N128" t="s">
        <v>336</v>
      </c>
      <c r="O128" t="s">
        <v>73</v>
      </c>
      <c r="P128">
        <v>8000</v>
      </c>
      <c r="Q128">
        <v>2023</v>
      </c>
      <c r="R128">
        <v>202411</v>
      </c>
      <c r="S128" t="s">
        <v>560</v>
      </c>
      <c r="T128" t="s">
        <v>497</v>
      </c>
    </row>
    <row r="129" spans="1:20">
      <c r="A129" t="s">
        <v>615</v>
      </c>
      <c r="B129" t="s">
        <v>85</v>
      </c>
      <c r="C129" t="s">
        <v>616</v>
      </c>
      <c r="D129" t="s">
        <v>68</v>
      </c>
      <c r="E129" t="s">
        <v>77</v>
      </c>
      <c r="F129" t="s">
        <v>25</v>
      </c>
      <c r="G129">
        <v>29800</v>
      </c>
      <c r="H129" t="s">
        <v>52</v>
      </c>
      <c r="I129" t="s">
        <v>617</v>
      </c>
      <c r="J129" t="s">
        <v>618</v>
      </c>
      <c r="K129" t="s">
        <v>92</v>
      </c>
      <c r="L129" t="s">
        <v>93</v>
      </c>
      <c r="M129" t="s">
        <v>31</v>
      </c>
      <c r="N129" t="s">
        <v>32</v>
      </c>
      <c r="O129" t="s">
        <v>177</v>
      </c>
      <c r="P129">
        <v>9000</v>
      </c>
      <c r="Q129">
        <v>2023</v>
      </c>
      <c r="R129">
        <v>202411</v>
      </c>
      <c r="S129" t="s">
        <v>560</v>
      </c>
      <c r="T129" t="s">
        <v>497</v>
      </c>
    </row>
    <row r="130" spans="1:20">
      <c r="A130" t="s">
        <v>619</v>
      </c>
      <c r="B130" t="s">
        <v>96</v>
      </c>
      <c r="C130" t="s">
        <v>620</v>
      </c>
      <c r="D130" t="s">
        <v>258</v>
      </c>
      <c r="E130" t="s">
        <v>259</v>
      </c>
      <c r="F130" t="s">
        <v>25</v>
      </c>
      <c r="G130">
        <v>106900</v>
      </c>
      <c r="H130" t="s">
        <v>228</v>
      </c>
      <c r="I130" t="s">
        <v>621</v>
      </c>
      <c r="J130" t="s">
        <v>622</v>
      </c>
      <c r="K130" t="s">
        <v>99</v>
      </c>
      <c r="L130" t="s">
        <v>93</v>
      </c>
      <c r="M130" t="s">
        <v>31</v>
      </c>
      <c r="N130" t="s">
        <v>623</v>
      </c>
      <c r="O130" t="s">
        <v>318</v>
      </c>
      <c r="P130">
        <v>2000</v>
      </c>
      <c r="Q130">
        <v>2024</v>
      </c>
      <c r="R130">
        <v>202412</v>
      </c>
      <c r="S130" t="s">
        <v>624</v>
      </c>
      <c r="T130" t="s">
        <v>497</v>
      </c>
    </row>
    <row r="131" spans="1:20">
      <c r="A131" t="s">
        <v>625</v>
      </c>
      <c r="B131" t="s">
        <v>101</v>
      </c>
      <c r="C131" t="s">
        <v>626</v>
      </c>
      <c r="D131" t="s">
        <v>23</v>
      </c>
      <c r="E131" t="s">
        <v>51</v>
      </c>
      <c r="F131" t="s">
        <v>103</v>
      </c>
      <c r="G131">
        <v>69900</v>
      </c>
      <c r="H131" t="s">
        <v>111</v>
      </c>
      <c r="I131" t="s">
        <v>627</v>
      </c>
      <c r="J131" t="s">
        <v>628</v>
      </c>
      <c r="K131" t="s">
        <v>106</v>
      </c>
      <c r="L131" t="s">
        <v>30</v>
      </c>
      <c r="M131" t="s">
        <v>45</v>
      </c>
      <c r="N131" t="s">
        <v>152</v>
      </c>
      <c r="O131" t="s">
        <v>47</v>
      </c>
      <c r="P131">
        <v>6000</v>
      </c>
      <c r="Q131">
        <v>2023</v>
      </c>
      <c r="R131">
        <v>202412</v>
      </c>
      <c r="S131" t="s">
        <v>624</v>
      </c>
      <c r="T131" t="s">
        <v>497</v>
      </c>
    </row>
    <row r="132" spans="1:20">
      <c r="A132" t="s">
        <v>629</v>
      </c>
      <c r="B132" t="s">
        <v>21</v>
      </c>
      <c r="C132" t="s">
        <v>630</v>
      </c>
      <c r="D132" t="s">
        <v>23</v>
      </c>
      <c r="E132" t="s">
        <v>51</v>
      </c>
      <c r="F132" t="s">
        <v>25</v>
      </c>
      <c r="G132">
        <v>42900</v>
      </c>
      <c r="H132" t="s">
        <v>89</v>
      </c>
      <c r="I132" t="s">
        <v>631</v>
      </c>
      <c r="J132" t="s">
        <v>632</v>
      </c>
      <c r="K132" t="s">
        <v>120</v>
      </c>
      <c r="L132" t="s">
        <v>30</v>
      </c>
      <c r="M132" t="s">
        <v>31</v>
      </c>
      <c r="N132" t="s">
        <v>64</v>
      </c>
      <c r="O132" t="s">
        <v>65</v>
      </c>
      <c r="P132">
        <v>4000</v>
      </c>
      <c r="Q132">
        <v>2024</v>
      </c>
      <c r="R132">
        <v>202412</v>
      </c>
      <c r="S132" t="s">
        <v>624</v>
      </c>
      <c r="T132" t="s">
        <v>497</v>
      </c>
    </row>
    <row r="133" spans="1:20">
      <c r="A133" t="s">
        <v>633</v>
      </c>
      <c r="B133" t="s">
        <v>37</v>
      </c>
      <c r="C133" t="s">
        <v>634</v>
      </c>
      <c r="D133" t="s">
        <v>258</v>
      </c>
      <c r="E133" t="s">
        <v>635</v>
      </c>
      <c r="F133" t="s">
        <v>25</v>
      </c>
      <c r="G133">
        <v>51900</v>
      </c>
      <c r="H133" t="s">
        <v>89</v>
      </c>
      <c r="I133" t="s">
        <v>636</v>
      </c>
      <c r="J133" t="s">
        <v>168</v>
      </c>
      <c r="K133" t="s">
        <v>43</v>
      </c>
      <c r="L133" t="s">
        <v>44</v>
      </c>
      <c r="M133" t="s">
        <v>31</v>
      </c>
      <c r="N133" t="s">
        <v>152</v>
      </c>
      <c r="O133" t="s">
        <v>33</v>
      </c>
      <c r="P133">
        <v>3000</v>
      </c>
      <c r="Q133">
        <v>2024</v>
      </c>
      <c r="R133">
        <v>202412</v>
      </c>
      <c r="S133" t="s">
        <v>624</v>
      </c>
      <c r="T133" t="s">
        <v>497</v>
      </c>
    </row>
    <row r="134" spans="1:20">
      <c r="A134" t="s">
        <v>637</v>
      </c>
      <c r="B134" t="s">
        <v>49</v>
      </c>
      <c r="C134" t="s">
        <v>638</v>
      </c>
      <c r="D134" t="s">
        <v>258</v>
      </c>
      <c r="E134" t="s">
        <v>635</v>
      </c>
      <c r="F134" t="s">
        <v>25</v>
      </c>
      <c r="G134">
        <v>115900</v>
      </c>
      <c r="H134" t="s">
        <v>228</v>
      </c>
      <c r="I134" t="s">
        <v>639</v>
      </c>
      <c r="J134" t="s">
        <v>640</v>
      </c>
      <c r="K134" t="s">
        <v>129</v>
      </c>
      <c r="L134" t="s">
        <v>81</v>
      </c>
      <c r="M134" t="s">
        <v>31</v>
      </c>
      <c r="N134" t="s">
        <v>345</v>
      </c>
      <c r="O134" t="s">
        <v>73</v>
      </c>
      <c r="P134">
        <v>2500</v>
      </c>
      <c r="Q134">
        <v>2024</v>
      </c>
      <c r="R134">
        <v>202412</v>
      </c>
      <c r="S134" t="s">
        <v>624</v>
      </c>
      <c r="T134" t="s">
        <v>497</v>
      </c>
    </row>
    <row r="135" spans="1:20">
      <c r="A135" t="s">
        <v>641</v>
      </c>
      <c r="B135" t="s">
        <v>59</v>
      </c>
      <c r="C135" t="s">
        <v>642</v>
      </c>
      <c r="D135" t="s">
        <v>23</v>
      </c>
      <c r="E135" t="s">
        <v>51</v>
      </c>
      <c r="F135" t="s">
        <v>25</v>
      </c>
      <c r="G135">
        <v>74900</v>
      </c>
      <c r="H135" t="s">
        <v>111</v>
      </c>
      <c r="I135" t="s">
        <v>643</v>
      </c>
      <c r="J135" t="s">
        <v>644</v>
      </c>
      <c r="K135" t="s">
        <v>63</v>
      </c>
      <c r="L135" t="s">
        <v>44</v>
      </c>
      <c r="M135" t="s">
        <v>45</v>
      </c>
      <c r="N135" t="s">
        <v>251</v>
      </c>
      <c r="O135" t="s">
        <v>56</v>
      </c>
      <c r="P135">
        <v>3500</v>
      </c>
      <c r="Q135">
        <v>2024</v>
      </c>
      <c r="R135">
        <v>202412</v>
      </c>
      <c r="S135" t="s">
        <v>624</v>
      </c>
      <c r="T135" t="s">
        <v>497</v>
      </c>
    </row>
    <row r="136" spans="1:20">
      <c r="A136" t="s">
        <v>645</v>
      </c>
      <c r="B136" t="s">
        <v>75</v>
      </c>
      <c r="C136" t="s">
        <v>646</v>
      </c>
      <c r="D136" t="s">
        <v>68</v>
      </c>
      <c r="E136" t="s">
        <v>77</v>
      </c>
      <c r="F136" t="s">
        <v>25</v>
      </c>
      <c r="G136">
        <v>89900</v>
      </c>
      <c r="H136" t="s">
        <v>111</v>
      </c>
      <c r="I136" t="s">
        <v>647</v>
      </c>
      <c r="J136" t="s">
        <v>648</v>
      </c>
      <c r="K136" t="s">
        <v>80</v>
      </c>
      <c r="L136" t="s">
        <v>81</v>
      </c>
      <c r="M136" t="s">
        <v>31</v>
      </c>
      <c r="N136" t="s">
        <v>649</v>
      </c>
      <c r="O136" t="s">
        <v>83</v>
      </c>
      <c r="P136">
        <v>5000</v>
      </c>
      <c r="Q136">
        <v>2024</v>
      </c>
      <c r="R136">
        <v>202412</v>
      </c>
      <c r="S136" t="s">
        <v>624</v>
      </c>
      <c r="T136" t="s">
        <v>497</v>
      </c>
    </row>
    <row r="137" spans="1:20">
      <c r="A137" t="s">
        <v>650</v>
      </c>
      <c r="B137" t="s">
        <v>85</v>
      </c>
      <c r="C137" t="s">
        <v>651</v>
      </c>
      <c r="D137" t="s">
        <v>258</v>
      </c>
      <c r="E137" t="s">
        <v>635</v>
      </c>
      <c r="F137" t="s">
        <v>25</v>
      </c>
      <c r="G137">
        <v>79900</v>
      </c>
      <c r="H137" t="s">
        <v>111</v>
      </c>
      <c r="I137" t="s">
        <v>652</v>
      </c>
      <c r="J137" t="s">
        <v>653</v>
      </c>
      <c r="K137" t="s">
        <v>92</v>
      </c>
      <c r="L137" t="s">
        <v>93</v>
      </c>
      <c r="M137" t="s">
        <v>31</v>
      </c>
      <c r="N137" t="s">
        <v>654</v>
      </c>
      <c r="O137" t="s">
        <v>65</v>
      </c>
      <c r="P137">
        <v>1000</v>
      </c>
      <c r="Q137">
        <v>2024</v>
      </c>
      <c r="R137">
        <v>202412</v>
      </c>
      <c r="S137" t="s">
        <v>624</v>
      </c>
      <c r="T137" t="s">
        <v>497</v>
      </c>
    </row>
    <row r="138" spans="1:20">
      <c r="A138" t="s">
        <v>655</v>
      </c>
      <c r="B138" t="s">
        <v>96</v>
      </c>
      <c r="C138" t="s">
        <v>656</v>
      </c>
      <c r="D138" t="s">
        <v>258</v>
      </c>
      <c r="E138" t="s">
        <v>635</v>
      </c>
      <c r="F138" t="s">
        <v>25</v>
      </c>
      <c r="G138">
        <v>62900</v>
      </c>
      <c r="H138" t="s">
        <v>111</v>
      </c>
      <c r="I138" t="s">
        <v>657</v>
      </c>
      <c r="J138" t="s">
        <v>658</v>
      </c>
      <c r="K138" t="s">
        <v>187</v>
      </c>
      <c r="L138" t="s">
        <v>93</v>
      </c>
      <c r="M138" t="s">
        <v>31</v>
      </c>
      <c r="N138" t="s">
        <v>590</v>
      </c>
      <c r="O138" t="s">
        <v>398</v>
      </c>
      <c r="P138">
        <v>1500</v>
      </c>
      <c r="Q138">
        <v>2024</v>
      </c>
      <c r="R138">
        <v>202412</v>
      </c>
      <c r="S138" t="s">
        <v>624</v>
      </c>
      <c r="T138" t="s">
        <v>497</v>
      </c>
    </row>
    <row r="139" spans="1:20">
      <c r="A139" t="s">
        <v>659</v>
      </c>
      <c r="B139" t="s">
        <v>109</v>
      </c>
      <c r="C139" t="s">
        <v>660</v>
      </c>
      <c r="D139" t="s">
        <v>258</v>
      </c>
      <c r="E139" t="s">
        <v>325</v>
      </c>
      <c r="F139" t="s">
        <v>103</v>
      </c>
      <c r="G139">
        <v>199900</v>
      </c>
      <c r="H139" t="s">
        <v>386</v>
      </c>
      <c r="I139" t="s">
        <v>661</v>
      </c>
      <c r="J139" t="s">
        <v>662</v>
      </c>
      <c r="K139" t="s">
        <v>114</v>
      </c>
      <c r="L139" t="s">
        <v>44</v>
      </c>
      <c r="M139" t="s">
        <v>115</v>
      </c>
      <c r="O139" t="s">
        <v>65</v>
      </c>
      <c r="P139">
        <v>500</v>
      </c>
      <c r="Q139">
        <v>2024</v>
      </c>
      <c r="R139">
        <v>202412</v>
      </c>
      <c r="S139" t="s">
        <v>624</v>
      </c>
      <c r="T139" t="s">
        <v>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A4B69-6981-4EC0-948F-DF75F7756CF0}">
  <dimension ref="A1:C23"/>
  <sheetViews>
    <sheetView workbookViewId="0">
      <selection activeCell="C14" sqref="C14:C15"/>
    </sheetView>
  </sheetViews>
  <sheetFormatPr defaultRowHeight="15"/>
  <cols>
    <col min="1" max="1" width="21" bestFit="1" customWidth="1"/>
    <col min="2" max="2" width="9.85546875" bestFit="1" customWidth="1"/>
    <col min="3" max="3" width="106.140625" bestFit="1" customWidth="1"/>
  </cols>
  <sheetData>
    <row r="1" spans="1:3">
      <c r="A1" t="s">
        <v>663</v>
      </c>
    </row>
    <row r="3" spans="1:3">
      <c r="A3" s="1" t="s">
        <v>664</v>
      </c>
      <c r="B3" s="1" t="s">
        <v>665</v>
      </c>
      <c r="C3" s="1" t="s">
        <v>666</v>
      </c>
    </row>
    <row r="4" spans="1:3">
      <c r="A4" t="s">
        <v>0</v>
      </c>
      <c r="B4" t="s">
        <v>667</v>
      </c>
      <c r="C4" t="s">
        <v>668</v>
      </c>
    </row>
    <row r="5" spans="1:3">
      <c r="A5" t="s">
        <v>1</v>
      </c>
      <c r="B5" t="s">
        <v>667</v>
      </c>
      <c r="C5" t="s">
        <v>669</v>
      </c>
    </row>
    <row r="6" spans="1:3">
      <c r="A6" t="s">
        <v>2</v>
      </c>
      <c r="B6" t="s">
        <v>667</v>
      </c>
      <c r="C6" t="s">
        <v>670</v>
      </c>
    </row>
    <row r="7" spans="1:3">
      <c r="A7" t="s">
        <v>3</v>
      </c>
      <c r="B7" t="s">
        <v>667</v>
      </c>
      <c r="C7" t="s">
        <v>671</v>
      </c>
    </row>
    <row r="8" spans="1:3">
      <c r="A8" t="s">
        <v>4</v>
      </c>
      <c r="B8" t="s">
        <v>667</v>
      </c>
      <c r="C8" t="s">
        <v>672</v>
      </c>
    </row>
    <row r="9" spans="1:3">
      <c r="A9" t="s">
        <v>5</v>
      </c>
      <c r="B9" t="s">
        <v>667</v>
      </c>
      <c r="C9" t="s">
        <v>673</v>
      </c>
    </row>
    <row r="10" spans="1:3">
      <c r="A10" t="s">
        <v>6</v>
      </c>
      <c r="B10" t="s">
        <v>674</v>
      </c>
      <c r="C10" t="s">
        <v>675</v>
      </c>
    </row>
    <row r="11" spans="1:3">
      <c r="A11" t="s">
        <v>7</v>
      </c>
      <c r="B11" t="s">
        <v>667</v>
      </c>
      <c r="C11" t="s">
        <v>676</v>
      </c>
    </row>
    <row r="12" spans="1:3">
      <c r="A12" t="s">
        <v>8</v>
      </c>
      <c r="B12" t="s">
        <v>667</v>
      </c>
      <c r="C12" t="s">
        <v>677</v>
      </c>
    </row>
    <row r="13" spans="1:3">
      <c r="A13" t="s">
        <v>9</v>
      </c>
      <c r="B13" t="s">
        <v>667</v>
      </c>
      <c r="C13" t="s">
        <v>678</v>
      </c>
    </row>
    <row r="14" spans="1:3">
      <c r="A14" t="s">
        <v>10</v>
      </c>
      <c r="B14" t="s">
        <v>667</v>
      </c>
      <c r="C14" t="s">
        <v>679</v>
      </c>
    </row>
    <row r="15" spans="1:3">
      <c r="A15" t="s">
        <v>11</v>
      </c>
      <c r="B15" t="s">
        <v>667</v>
      </c>
      <c r="C15" t="s">
        <v>680</v>
      </c>
    </row>
    <row r="16" spans="1:3">
      <c r="A16" t="s">
        <v>12</v>
      </c>
      <c r="B16" t="s">
        <v>667</v>
      </c>
      <c r="C16" t="s">
        <v>681</v>
      </c>
    </row>
    <row r="17" spans="1:3">
      <c r="A17" t="s">
        <v>13</v>
      </c>
      <c r="B17" t="s">
        <v>667</v>
      </c>
      <c r="C17" t="s">
        <v>682</v>
      </c>
    </row>
    <row r="18" spans="1:3">
      <c r="A18" t="s">
        <v>14</v>
      </c>
      <c r="B18" t="s">
        <v>667</v>
      </c>
      <c r="C18" t="s">
        <v>683</v>
      </c>
    </row>
    <row r="19" spans="1:3">
      <c r="A19" t="s">
        <v>15</v>
      </c>
      <c r="B19" t="s">
        <v>674</v>
      </c>
      <c r="C19" t="s">
        <v>684</v>
      </c>
    </row>
    <row r="20" spans="1:3">
      <c r="A20" t="s">
        <v>16</v>
      </c>
      <c r="B20" t="s">
        <v>674</v>
      </c>
      <c r="C20" t="s">
        <v>685</v>
      </c>
    </row>
    <row r="21" spans="1:3">
      <c r="A21" t="s">
        <v>17</v>
      </c>
      <c r="B21" t="s">
        <v>674</v>
      </c>
      <c r="C21" t="s">
        <v>686</v>
      </c>
    </row>
    <row r="22" spans="1:3">
      <c r="A22" t="s">
        <v>18</v>
      </c>
      <c r="B22" t="s">
        <v>667</v>
      </c>
      <c r="C22" t="s">
        <v>687</v>
      </c>
    </row>
    <row r="23" spans="1:3">
      <c r="A23" t="s">
        <v>19</v>
      </c>
      <c r="B23" t="s">
        <v>667</v>
      </c>
      <c r="C23" t="s">
        <v>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8433-FF48-4900-8091-31E8577FC574}">
  <dimension ref="A1:D22"/>
  <sheetViews>
    <sheetView workbookViewId="0">
      <selection activeCell="B19" sqref="B19"/>
    </sheetView>
  </sheetViews>
  <sheetFormatPr defaultRowHeight="15"/>
  <cols>
    <col min="1" max="1" width="14.7109375" style="2" bestFit="1" customWidth="1"/>
    <col min="2" max="2" width="90.28515625" style="2" customWidth="1"/>
    <col min="3" max="3" width="115.140625" style="2" customWidth="1"/>
    <col min="4" max="4" width="45.28515625" style="2" customWidth="1"/>
  </cols>
  <sheetData>
    <row r="1" spans="1:4">
      <c r="A1" s="4" t="s">
        <v>689</v>
      </c>
      <c r="B1" s="4" t="s">
        <v>690</v>
      </c>
      <c r="C1" s="4" t="s">
        <v>691</v>
      </c>
      <c r="D1" s="4" t="s">
        <v>692</v>
      </c>
    </row>
    <row r="2" spans="1:4" ht="30.75">
      <c r="A2" s="2" t="s">
        <v>693</v>
      </c>
      <c r="B2" s="2" t="s">
        <v>694</v>
      </c>
      <c r="C2" s="2" t="s">
        <v>695</v>
      </c>
      <c r="D2" s="2" t="s">
        <v>696</v>
      </c>
    </row>
    <row r="3" spans="1:4" ht="30.75">
      <c r="A3" s="2" t="s">
        <v>697</v>
      </c>
      <c r="B3" s="2" t="s">
        <v>698</v>
      </c>
      <c r="C3" s="5" t="s">
        <v>699</v>
      </c>
      <c r="D3" s="2" t="s">
        <v>700</v>
      </c>
    </row>
    <row r="4" spans="1:4" ht="30.75">
      <c r="B4" s="2" t="s">
        <v>701</v>
      </c>
      <c r="C4" s="5" t="s">
        <v>702</v>
      </c>
      <c r="D4" s="2" t="s">
        <v>703</v>
      </c>
    </row>
    <row r="5" spans="1:4" ht="60.75">
      <c r="A5" s="2" t="s">
        <v>704</v>
      </c>
      <c r="B5" s="2" t="s">
        <v>705</v>
      </c>
      <c r="C5" s="2" t="s">
        <v>706</v>
      </c>
      <c r="D5" s="2" t="s">
        <v>707</v>
      </c>
    </row>
    <row r="6" spans="1:4">
      <c r="B6" s="2" t="s">
        <v>708</v>
      </c>
      <c r="C6" s="2" t="s">
        <v>709</v>
      </c>
      <c r="D6" s="2" t="s">
        <v>710</v>
      </c>
    </row>
    <row r="7" spans="1:4">
      <c r="A7" s="20" t="s">
        <v>711</v>
      </c>
      <c r="B7" s="20" t="s">
        <v>712</v>
      </c>
      <c r="C7" s="20" t="s">
        <v>713</v>
      </c>
      <c r="D7" s="6" t="s">
        <v>714</v>
      </c>
    </row>
    <row r="8" spans="1:4" ht="45.75">
      <c r="A8" s="2" t="s">
        <v>715</v>
      </c>
      <c r="B8" s="9" t="s">
        <v>716</v>
      </c>
      <c r="C8" s="2" t="s">
        <v>717</v>
      </c>
      <c r="D8" s="9" t="s">
        <v>718</v>
      </c>
    </row>
    <row r="9" spans="1:4" ht="30.75">
      <c r="A9" s="2" t="s">
        <v>719</v>
      </c>
      <c r="B9" s="2" t="s">
        <v>720</v>
      </c>
      <c r="C9" s="2" t="s">
        <v>721</v>
      </c>
      <c r="D9" s="2" t="s">
        <v>722</v>
      </c>
    </row>
    <row r="10" spans="1:4" ht="45.75">
      <c r="A10" s="2" t="s">
        <v>723</v>
      </c>
      <c r="B10" s="2" t="s">
        <v>724</v>
      </c>
      <c r="C10" s="2" t="s">
        <v>725</v>
      </c>
      <c r="D10" s="2" t="s">
        <v>726</v>
      </c>
    </row>
    <row r="17" spans="4:4">
      <c r="D17"/>
    </row>
    <row r="18" spans="4:4">
      <c r="D18"/>
    </row>
    <row r="19" spans="4:4">
      <c r="D19"/>
    </row>
    <row r="20" spans="4:4">
      <c r="D20"/>
    </row>
    <row r="21" spans="4:4">
      <c r="D21"/>
    </row>
    <row r="22" spans="4:4">
      <c r="D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9CE9-4464-4C72-880C-9EBDF7069C67}">
  <dimension ref="A1:S139"/>
  <sheetViews>
    <sheetView workbookViewId="0">
      <selection activeCell="L34" sqref="L34:L35"/>
    </sheetView>
  </sheetViews>
  <sheetFormatPr defaultColWidth="9.140625" defaultRowHeight="15"/>
  <cols>
    <col min="1" max="1" width="22.140625" bestFit="1" customWidth="1"/>
    <col min="2" max="2" width="9.5703125" bestFit="1" customWidth="1"/>
    <col min="3" max="3" width="16.85546875" bestFit="1" customWidth="1"/>
    <col min="4" max="4" width="19.140625" bestFit="1" customWidth="1"/>
    <col min="5" max="5" width="24.28515625" bestFit="1" customWidth="1"/>
    <col min="6" max="6" width="19.28515625" bestFit="1" customWidth="1"/>
    <col min="7" max="7" width="12.5703125" bestFit="1" customWidth="1"/>
    <col min="8" max="8" width="21.7109375" bestFit="1" customWidth="1"/>
    <col min="9" max="9" width="18.85546875" bestFit="1" customWidth="1"/>
    <col min="10" max="10" width="26.5703125" bestFit="1" customWidth="1"/>
    <col min="11" max="11" width="15.7109375" bestFit="1" customWidth="1"/>
    <col min="12" max="12" width="16.5703125" bestFit="1" customWidth="1"/>
    <col min="13" max="13" width="12.5703125" bestFit="1" customWidth="1"/>
    <col min="14" max="14" width="18.28515625" style="3" customWidth="1"/>
    <col min="15" max="15" width="9.5703125" bestFit="1" customWidth="1"/>
    <col min="16" max="16" width="10.5703125" bestFit="1" customWidth="1"/>
    <col min="17" max="17" width="14.28515625" bestFit="1" customWidth="1"/>
    <col min="18" max="18" width="13.28515625" bestFit="1" customWidth="1"/>
    <col min="19" max="19" width="10.425781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21" t="s">
        <v>727</v>
      </c>
      <c r="O1" s="14" t="s">
        <v>14</v>
      </c>
      <c r="P1" s="14" t="s">
        <v>15</v>
      </c>
      <c r="Q1" s="14" t="s">
        <v>16</v>
      </c>
      <c r="R1" s="14" t="s">
        <v>728</v>
      </c>
      <c r="S1" s="14" t="s">
        <v>19</v>
      </c>
    </row>
    <row r="2" spans="1:19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7">
        <v>24500</v>
      </c>
      <c r="H2" s="14" t="s">
        <v>26</v>
      </c>
      <c r="I2" s="14" t="s">
        <v>27</v>
      </c>
      <c r="J2" s="14" t="s">
        <v>28</v>
      </c>
      <c r="K2" s="14" t="s">
        <v>29</v>
      </c>
      <c r="L2" s="14" t="s">
        <v>30</v>
      </c>
      <c r="M2" s="14" t="s">
        <v>31</v>
      </c>
      <c r="N2" s="21">
        <v>1.5</v>
      </c>
      <c r="O2" s="14" t="s">
        <v>33</v>
      </c>
      <c r="P2" s="15">
        <v>15000</v>
      </c>
      <c r="Q2" s="14">
        <v>2021</v>
      </c>
      <c r="R2" s="16">
        <v>45292</v>
      </c>
      <c r="S2" s="14" t="s">
        <v>35</v>
      </c>
    </row>
    <row r="3" spans="1:19">
      <c r="A3" t="s">
        <v>36</v>
      </c>
      <c r="B3" t="s">
        <v>37</v>
      </c>
      <c r="C3" t="s">
        <v>38</v>
      </c>
      <c r="D3" t="s">
        <v>23</v>
      </c>
      <c r="E3" t="s">
        <v>24</v>
      </c>
      <c r="F3" t="s">
        <v>25</v>
      </c>
      <c r="G3" s="7">
        <v>24500</v>
      </c>
      <c r="H3" s="14" t="s">
        <v>26</v>
      </c>
      <c r="I3" s="14" t="s">
        <v>41</v>
      </c>
      <c r="J3" s="14" t="s">
        <v>42</v>
      </c>
      <c r="K3" s="14" t="s">
        <v>43</v>
      </c>
      <c r="L3" s="14" t="s">
        <v>44</v>
      </c>
      <c r="M3" s="14" t="s">
        <v>31</v>
      </c>
      <c r="N3" s="21">
        <v>1.8</v>
      </c>
      <c r="O3" s="14" t="s">
        <v>47</v>
      </c>
      <c r="P3" s="15">
        <v>8500</v>
      </c>
      <c r="Q3" s="14">
        <v>2021</v>
      </c>
      <c r="R3" s="16">
        <v>45292</v>
      </c>
      <c r="S3" s="14" t="s">
        <v>35</v>
      </c>
    </row>
    <row r="4" spans="1:19">
      <c r="A4" t="s">
        <v>48</v>
      </c>
      <c r="B4" t="s">
        <v>49</v>
      </c>
      <c r="C4" t="s">
        <v>50</v>
      </c>
      <c r="D4" t="s">
        <v>23</v>
      </c>
      <c r="E4" t="s">
        <v>51</v>
      </c>
      <c r="F4" t="s">
        <v>25</v>
      </c>
      <c r="G4" s="7">
        <v>26800</v>
      </c>
      <c r="H4" s="14" t="s">
        <v>729</v>
      </c>
      <c r="I4" s="14" t="s">
        <v>53</v>
      </c>
      <c r="J4" s="14" t="s">
        <v>54</v>
      </c>
      <c r="K4" s="14" t="s">
        <v>730</v>
      </c>
      <c r="L4" s="14" t="s">
        <v>30</v>
      </c>
      <c r="M4" s="14" t="s">
        <v>31</v>
      </c>
      <c r="N4" s="21">
        <v>2.5</v>
      </c>
      <c r="O4" s="14" t="s">
        <v>56</v>
      </c>
      <c r="P4" s="15">
        <v>22000</v>
      </c>
      <c r="Q4" s="14">
        <v>2020</v>
      </c>
      <c r="R4" s="16">
        <v>45323</v>
      </c>
      <c r="S4" s="14" t="s">
        <v>35</v>
      </c>
    </row>
    <row r="5" spans="1:19">
      <c r="A5" t="s">
        <v>58</v>
      </c>
      <c r="B5" t="s">
        <v>59</v>
      </c>
      <c r="C5" t="s">
        <v>60</v>
      </c>
      <c r="D5" t="s">
        <v>23</v>
      </c>
      <c r="E5" t="s">
        <v>24</v>
      </c>
      <c r="F5" t="s">
        <v>25</v>
      </c>
      <c r="G5" s="7">
        <v>22900</v>
      </c>
      <c r="H5" s="14" t="s">
        <v>26</v>
      </c>
      <c r="I5" s="14" t="s">
        <v>61</v>
      </c>
      <c r="J5" s="14" t="s">
        <v>62</v>
      </c>
      <c r="K5" s="14" t="s">
        <v>63</v>
      </c>
      <c r="L5" s="14" t="s">
        <v>44</v>
      </c>
      <c r="M5" s="14" t="s">
        <v>31</v>
      </c>
      <c r="N5" s="21">
        <v>2</v>
      </c>
      <c r="O5" s="14" t="s">
        <v>65</v>
      </c>
      <c r="P5" s="15">
        <v>12000</v>
      </c>
      <c r="Q5" s="14">
        <v>2022</v>
      </c>
      <c r="R5" s="16">
        <v>45323</v>
      </c>
      <c r="S5" s="14" t="s">
        <v>35</v>
      </c>
    </row>
    <row r="6" spans="1:19">
      <c r="A6" t="s">
        <v>66</v>
      </c>
      <c r="B6" t="s">
        <v>59</v>
      </c>
      <c r="C6" t="s">
        <v>67</v>
      </c>
      <c r="D6" t="s">
        <v>68</v>
      </c>
      <c r="E6" t="s">
        <v>69</v>
      </c>
      <c r="F6" t="s">
        <v>25</v>
      </c>
      <c r="G6" s="7">
        <v>29500</v>
      </c>
      <c r="H6" s="14" t="s">
        <v>729</v>
      </c>
      <c r="I6" s="14" t="s">
        <v>70</v>
      </c>
      <c r="J6" s="14" t="s">
        <v>71</v>
      </c>
      <c r="K6" s="14" t="s">
        <v>63</v>
      </c>
      <c r="L6" s="14" t="s">
        <v>44</v>
      </c>
      <c r="M6" s="14" t="s">
        <v>31</v>
      </c>
      <c r="N6" s="21">
        <v>2.4</v>
      </c>
      <c r="O6" s="14" t="s">
        <v>73</v>
      </c>
      <c r="P6" s="15">
        <v>28000</v>
      </c>
      <c r="Q6" s="14">
        <v>2019</v>
      </c>
      <c r="R6" s="16">
        <v>45323</v>
      </c>
      <c r="S6" s="14" t="s">
        <v>35</v>
      </c>
    </row>
    <row r="7" spans="1:19">
      <c r="A7" t="s">
        <v>74</v>
      </c>
      <c r="B7" t="s">
        <v>75</v>
      </c>
      <c r="C7" t="s">
        <v>76</v>
      </c>
      <c r="D7" t="s">
        <v>68</v>
      </c>
      <c r="E7" t="s">
        <v>77</v>
      </c>
      <c r="F7" t="s">
        <v>25</v>
      </c>
      <c r="G7" s="7">
        <v>38900</v>
      </c>
      <c r="H7" s="14" t="s">
        <v>729</v>
      </c>
      <c r="I7" s="14" t="s">
        <v>78</v>
      </c>
      <c r="J7" s="14" t="s">
        <v>79</v>
      </c>
      <c r="K7" s="14" t="s">
        <v>80</v>
      </c>
      <c r="L7" s="14" t="s">
        <v>81</v>
      </c>
      <c r="M7" s="14" t="s">
        <v>31</v>
      </c>
      <c r="N7" s="21">
        <v>3.6</v>
      </c>
      <c r="O7" s="14" t="s">
        <v>83</v>
      </c>
      <c r="P7" s="15">
        <v>35000</v>
      </c>
      <c r="Q7" s="14">
        <v>2020</v>
      </c>
      <c r="R7" s="16">
        <v>45323</v>
      </c>
      <c r="S7" s="14" t="s">
        <v>35</v>
      </c>
    </row>
    <row r="8" spans="1:19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25</v>
      </c>
      <c r="G8" s="7">
        <v>42000</v>
      </c>
      <c r="H8" s="14" t="s">
        <v>731</v>
      </c>
      <c r="I8" s="14" t="s">
        <v>90</v>
      </c>
      <c r="J8" s="14" t="s">
        <v>91</v>
      </c>
      <c r="K8" s="14" t="s">
        <v>92</v>
      </c>
      <c r="L8" s="14" t="s">
        <v>93</v>
      </c>
      <c r="M8" s="14" t="s">
        <v>31</v>
      </c>
      <c r="N8" s="21">
        <v>5</v>
      </c>
      <c r="O8" s="14" t="s">
        <v>33</v>
      </c>
      <c r="P8" s="15">
        <v>18000</v>
      </c>
      <c r="Q8" s="14">
        <v>2021</v>
      </c>
      <c r="R8" s="16">
        <v>45323</v>
      </c>
      <c r="S8" s="14" t="s">
        <v>35</v>
      </c>
    </row>
    <row r="9" spans="1:19">
      <c r="A9" t="s">
        <v>95</v>
      </c>
      <c r="B9" t="s">
        <v>96</v>
      </c>
      <c r="C9" t="s">
        <v>97</v>
      </c>
      <c r="D9" t="s">
        <v>23</v>
      </c>
      <c r="E9" t="s">
        <v>51</v>
      </c>
      <c r="F9" t="s">
        <v>25</v>
      </c>
      <c r="G9" s="7">
        <v>25500</v>
      </c>
      <c r="H9" s="14" t="s">
        <v>729</v>
      </c>
      <c r="I9" s="14" t="s">
        <v>730</v>
      </c>
      <c r="J9" s="14" t="s">
        <v>98</v>
      </c>
      <c r="K9" s="14" t="s">
        <v>99</v>
      </c>
      <c r="L9" s="14" t="s">
        <v>93</v>
      </c>
      <c r="M9" s="14" t="s">
        <v>31</v>
      </c>
      <c r="N9" s="21">
        <v>1.5</v>
      </c>
      <c r="O9" s="14" t="s">
        <v>47</v>
      </c>
      <c r="P9" s="15">
        <v>16000</v>
      </c>
      <c r="Q9" s="14">
        <v>2022</v>
      </c>
      <c r="R9" s="16">
        <v>45323</v>
      </c>
      <c r="S9" s="14" t="s">
        <v>35</v>
      </c>
    </row>
    <row r="10" spans="1:19">
      <c r="A10" t="s">
        <v>100</v>
      </c>
      <c r="B10" t="s">
        <v>101</v>
      </c>
      <c r="C10" t="s">
        <v>102</v>
      </c>
      <c r="D10" t="s">
        <v>68</v>
      </c>
      <c r="E10" t="s">
        <v>77</v>
      </c>
      <c r="F10" t="s">
        <v>103</v>
      </c>
      <c r="G10" s="7">
        <v>45900</v>
      </c>
      <c r="H10" s="14" t="s">
        <v>731</v>
      </c>
      <c r="I10" s="14" t="s">
        <v>104</v>
      </c>
      <c r="J10" s="14" t="s">
        <v>105</v>
      </c>
      <c r="K10" s="14" t="s">
        <v>106</v>
      </c>
      <c r="L10" s="14" t="s">
        <v>30</v>
      </c>
      <c r="M10" s="14" t="s">
        <v>31</v>
      </c>
      <c r="N10" s="21">
        <v>2</v>
      </c>
      <c r="O10" s="14" t="s">
        <v>73</v>
      </c>
      <c r="P10" s="15">
        <v>24000</v>
      </c>
      <c r="Q10" s="14">
        <v>2021</v>
      </c>
      <c r="R10" s="16">
        <v>45352</v>
      </c>
      <c r="S10" s="14" t="s">
        <v>35</v>
      </c>
    </row>
    <row r="11" spans="1:19">
      <c r="A11" t="s">
        <v>108</v>
      </c>
      <c r="B11" t="s">
        <v>109</v>
      </c>
      <c r="C11" t="s">
        <v>110</v>
      </c>
      <c r="D11" t="s">
        <v>23</v>
      </c>
      <c r="E11" t="s">
        <v>51</v>
      </c>
      <c r="F11" t="s">
        <v>103</v>
      </c>
      <c r="G11" s="7">
        <v>89500</v>
      </c>
      <c r="H11" s="14" t="s">
        <v>732</v>
      </c>
      <c r="I11" s="14" t="s">
        <v>112</v>
      </c>
      <c r="J11" s="14" t="s">
        <v>113</v>
      </c>
      <c r="K11" s="14" t="s">
        <v>114</v>
      </c>
      <c r="L11" s="14" t="s">
        <v>44</v>
      </c>
      <c r="M11" s="14" t="s">
        <v>115</v>
      </c>
      <c r="N11" s="17" t="s">
        <v>733</v>
      </c>
      <c r="O11" s="14" t="s">
        <v>65</v>
      </c>
      <c r="P11" s="15">
        <v>8000</v>
      </c>
      <c r="Q11" s="14">
        <v>2023</v>
      </c>
      <c r="R11" s="16">
        <v>45352</v>
      </c>
      <c r="S11" s="14" t="s">
        <v>35</v>
      </c>
    </row>
    <row r="12" spans="1:19">
      <c r="A12" t="s">
        <v>116</v>
      </c>
      <c r="B12" t="s">
        <v>21</v>
      </c>
      <c r="C12" t="s">
        <v>117</v>
      </c>
      <c r="D12" t="s">
        <v>23</v>
      </c>
      <c r="E12" t="s">
        <v>51</v>
      </c>
      <c r="F12" t="s">
        <v>25</v>
      </c>
      <c r="G12" s="7">
        <v>28900</v>
      </c>
      <c r="H12" s="14" t="s">
        <v>729</v>
      </c>
      <c r="I12" s="14" t="s">
        <v>118</v>
      </c>
      <c r="J12" s="14" t="s">
        <v>119</v>
      </c>
      <c r="K12" s="14" t="s">
        <v>29</v>
      </c>
      <c r="L12" s="14" t="s">
        <v>30</v>
      </c>
      <c r="M12" s="14" t="s">
        <v>31</v>
      </c>
      <c r="N12" s="21">
        <v>1.5</v>
      </c>
      <c r="O12" s="14" t="s">
        <v>56</v>
      </c>
      <c r="P12" s="15">
        <v>19000</v>
      </c>
      <c r="Q12" s="14">
        <v>2021</v>
      </c>
      <c r="R12" s="16">
        <v>45352</v>
      </c>
      <c r="S12" s="14" t="s">
        <v>35</v>
      </c>
    </row>
    <row r="13" spans="1:19">
      <c r="A13" t="s">
        <v>36</v>
      </c>
      <c r="B13" t="s">
        <v>37</v>
      </c>
      <c r="C13" t="s">
        <v>38</v>
      </c>
      <c r="D13" t="s">
        <v>23</v>
      </c>
      <c r="E13" t="s">
        <v>24</v>
      </c>
      <c r="F13" t="s">
        <v>25</v>
      </c>
      <c r="G13" s="7">
        <v>23200</v>
      </c>
      <c r="H13" s="14" t="s">
        <v>26</v>
      </c>
      <c r="I13" s="14" t="s">
        <v>41</v>
      </c>
      <c r="J13" s="14" t="s">
        <v>42</v>
      </c>
      <c r="K13" s="14" t="s">
        <v>43</v>
      </c>
      <c r="L13" s="14" t="s">
        <v>44</v>
      </c>
      <c r="M13" s="14" t="s">
        <v>31</v>
      </c>
      <c r="N13" s="21">
        <v>1.8</v>
      </c>
      <c r="O13" s="14" t="s">
        <v>47</v>
      </c>
      <c r="P13" s="15">
        <v>8500</v>
      </c>
      <c r="Q13" s="14">
        <v>2022</v>
      </c>
      <c r="R13" s="16">
        <v>45352</v>
      </c>
      <c r="S13" s="14" t="s">
        <v>35</v>
      </c>
    </row>
    <row r="14" spans="1:19">
      <c r="A14" t="s">
        <v>121</v>
      </c>
      <c r="B14" t="s">
        <v>37</v>
      </c>
      <c r="C14" t="s">
        <v>122</v>
      </c>
      <c r="D14" t="s">
        <v>23</v>
      </c>
      <c r="E14" t="s">
        <v>51</v>
      </c>
      <c r="F14" t="s">
        <v>25</v>
      </c>
      <c r="G14" s="7">
        <v>31200</v>
      </c>
      <c r="H14" s="14" t="s">
        <v>729</v>
      </c>
      <c r="I14" s="14" t="s">
        <v>123</v>
      </c>
      <c r="J14" s="14" t="s">
        <v>124</v>
      </c>
      <c r="K14" s="14" t="s">
        <v>43</v>
      </c>
      <c r="L14" s="14" t="s">
        <v>44</v>
      </c>
      <c r="M14" s="14" t="s">
        <v>125</v>
      </c>
      <c r="N14" s="21">
        <v>2.5</v>
      </c>
      <c r="O14" s="14" t="s">
        <v>33</v>
      </c>
      <c r="P14" s="15">
        <v>14000</v>
      </c>
      <c r="Q14" s="14">
        <v>2022</v>
      </c>
      <c r="R14" s="16">
        <v>45352</v>
      </c>
      <c r="S14" s="14" t="s">
        <v>35</v>
      </c>
    </row>
    <row r="15" spans="1:19">
      <c r="A15" t="s">
        <v>126</v>
      </c>
      <c r="B15" t="s">
        <v>49</v>
      </c>
      <c r="C15" t="s">
        <v>50</v>
      </c>
      <c r="D15" t="s">
        <v>23</v>
      </c>
      <c r="E15" t="s">
        <v>51</v>
      </c>
      <c r="F15" t="s">
        <v>25</v>
      </c>
      <c r="G15" s="7">
        <v>27500</v>
      </c>
      <c r="H15" s="14" t="s">
        <v>729</v>
      </c>
      <c r="I15" s="14" t="s">
        <v>127</v>
      </c>
      <c r="J15" s="14" t="s">
        <v>128</v>
      </c>
      <c r="K15" s="14" t="s">
        <v>129</v>
      </c>
      <c r="L15" s="14" t="s">
        <v>81</v>
      </c>
      <c r="M15" s="14" t="s">
        <v>31</v>
      </c>
      <c r="N15" s="21">
        <v>2.5</v>
      </c>
      <c r="O15" s="14" t="s">
        <v>730</v>
      </c>
      <c r="P15" s="15">
        <v>26000</v>
      </c>
      <c r="Q15" s="14">
        <v>2020</v>
      </c>
      <c r="R15" s="16">
        <v>45352</v>
      </c>
      <c r="S15" s="14" t="s">
        <v>35</v>
      </c>
    </row>
    <row r="16" spans="1:19">
      <c r="A16" t="s">
        <v>130</v>
      </c>
      <c r="B16" t="s">
        <v>59</v>
      </c>
      <c r="C16" t="s">
        <v>131</v>
      </c>
      <c r="D16" t="s">
        <v>68</v>
      </c>
      <c r="E16" t="s">
        <v>69</v>
      </c>
      <c r="F16" t="s">
        <v>25</v>
      </c>
      <c r="G16" s="7">
        <v>35800</v>
      </c>
      <c r="H16" s="14" t="s">
        <v>729</v>
      </c>
      <c r="I16" s="14" t="s">
        <v>132</v>
      </c>
      <c r="J16" s="14" t="s">
        <v>133</v>
      </c>
      <c r="K16" s="14" t="s">
        <v>63</v>
      </c>
      <c r="L16" s="14" t="s">
        <v>44</v>
      </c>
      <c r="M16" s="14" t="s">
        <v>31</v>
      </c>
      <c r="N16" s="21">
        <v>2.4</v>
      </c>
      <c r="O16" s="14" t="s">
        <v>47</v>
      </c>
      <c r="P16" s="15">
        <v>31000</v>
      </c>
      <c r="Q16" s="14">
        <v>2019</v>
      </c>
      <c r="R16" s="16">
        <v>45352</v>
      </c>
      <c r="S16" s="14" t="s">
        <v>35</v>
      </c>
    </row>
    <row r="17" spans="1:19">
      <c r="A17" t="s">
        <v>134</v>
      </c>
      <c r="B17" t="s">
        <v>75</v>
      </c>
      <c r="C17" t="s">
        <v>76</v>
      </c>
      <c r="D17" t="s">
        <v>68</v>
      </c>
      <c r="E17" t="s">
        <v>77</v>
      </c>
      <c r="F17" t="s">
        <v>25</v>
      </c>
      <c r="G17" s="7">
        <v>41200</v>
      </c>
      <c r="H17" s="14" t="s">
        <v>731</v>
      </c>
      <c r="I17" s="14" t="s">
        <v>135</v>
      </c>
      <c r="J17" s="14" t="s">
        <v>136</v>
      </c>
      <c r="K17" s="14" t="s">
        <v>80</v>
      </c>
      <c r="L17" s="14" t="s">
        <v>81</v>
      </c>
      <c r="M17" s="14" t="s">
        <v>31</v>
      </c>
      <c r="N17" s="21">
        <v>3.6</v>
      </c>
      <c r="O17" s="14" t="s">
        <v>73</v>
      </c>
      <c r="P17" s="15">
        <v>29000</v>
      </c>
      <c r="Q17" s="14">
        <v>2020</v>
      </c>
      <c r="R17" s="16">
        <v>45352</v>
      </c>
      <c r="S17" s="14" t="s">
        <v>35</v>
      </c>
    </row>
    <row r="18" spans="1:19">
      <c r="A18" t="s">
        <v>138</v>
      </c>
      <c r="B18" t="s">
        <v>85</v>
      </c>
      <c r="C18" t="s">
        <v>86</v>
      </c>
      <c r="D18" t="s">
        <v>87</v>
      </c>
      <c r="E18" t="s">
        <v>88</v>
      </c>
      <c r="F18" t="s">
        <v>25</v>
      </c>
      <c r="G18" s="7">
        <v>44500</v>
      </c>
      <c r="H18" s="14" t="s">
        <v>731</v>
      </c>
      <c r="I18" s="14" t="s">
        <v>139</v>
      </c>
      <c r="J18" s="14" t="s">
        <v>140</v>
      </c>
      <c r="K18" s="14" t="s">
        <v>92</v>
      </c>
      <c r="L18" s="14" t="s">
        <v>93</v>
      </c>
      <c r="M18" s="14" t="s">
        <v>31</v>
      </c>
      <c r="N18" s="21">
        <v>5</v>
      </c>
      <c r="O18" s="14" t="s">
        <v>65</v>
      </c>
      <c r="P18" s="15">
        <v>21000</v>
      </c>
      <c r="Q18" s="14">
        <v>2021</v>
      </c>
      <c r="R18" s="16">
        <v>45352</v>
      </c>
      <c r="S18" s="14" t="s">
        <v>35</v>
      </c>
    </row>
    <row r="19" spans="1:19">
      <c r="A19" t="s">
        <v>141</v>
      </c>
      <c r="B19" t="s">
        <v>96</v>
      </c>
      <c r="C19" t="s">
        <v>142</v>
      </c>
      <c r="D19" t="s">
        <v>23</v>
      </c>
      <c r="E19" t="s">
        <v>24</v>
      </c>
      <c r="F19" t="s">
        <v>25</v>
      </c>
      <c r="G19" s="7">
        <v>24800</v>
      </c>
      <c r="H19" s="14" t="s">
        <v>26</v>
      </c>
      <c r="I19" s="14" t="s">
        <v>143</v>
      </c>
      <c r="J19" s="14" t="s">
        <v>144</v>
      </c>
      <c r="K19" s="14" t="s">
        <v>99</v>
      </c>
      <c r="L19" s="14" t="s">
        <v>93</v>
      </c>
      <c r="M19" s="14" t="s">
        <v>31</v>
      </c>
      <c r="N19" s="21">
        <v>1.4</v>
      </c>
      <c r="O19" s="14" t="s">
        <v>56</v>
      </c>
      <c r="P19" s="15">
        <v>17000</v>
      </c>
      <c r="Q19" s="14">
        <v>2022</v>
      </c>
      <c r="R19" s="16">
        <v>45383</v>
      </c>
      <c r="S19" s="14" t="s">
        <v>147</v>
      </c>
    </row>
    <row r="20" spans="1:19">
      <c r="A20" t="s">
        <v>148</v>
      </c>
      <c r="B20" t="s">
        <v>101</v>
      </c>
      <c r="C20" t="s">
        <v>149</v>
      </c>
      <c r="D20" t="s">
        <v>68</v>
      </c>
      <c r="E20" t="s">
        <v>77</v>
      </c>
      <c r="F20" t="s">
        <v>103</v>
      </c>
      <c r="G20" s="7">
        <v>59900</v>
      </c>
      <c r="H20" s="14" t="s">
        <v>731</v>
      </c>
      <c r="I20" s="14" t="s">
        <v>150</v>
      </c>
      <c r="J20" s="14" t="s">
        <v>151</v>
      </c>
      <c r="K20" s="14" t="s">
        <v>106</v>
      </c>
      <c r="L20" s="14" t="s">
        <v>30</v>
      </c>
      <c r="M20" s="14" t="s">
        <v>31</v>
      </c>
      <c r="N20" s="21">
        <v>3</v>
      </c>
      <c r="O20" s="14" t="s">
        <v>83</v>
      </c>
      <c r="P20" s="15">
        <v>32000</v>
      </c>
      <c r="Q20" s="14">
        <v>2020</v>
      </c>
      <c r="R20" s="16">
        <v>45383</v>
      </c>
      <c r="S20" s="14" t="s">
        <v>147</v>
      </c>
    </row>
    <row r="21" spans="1:19">
      <c r="A21" t="s">
        <v>153</v>
      </c>
      <c r="B21" t="s">
        <v>109</v>
      </c>
      <c r="C21" t="s">
        <v>154</v>
      </c>
      <c r="D21" t="s">
        <v>23</v>
      </c>
      <c r="E21" t="s">
        <v>51</v>
      </c>
      <c r="F21" t="s">
        <v>103</v>
      </c>
      <c r="G21" s="7">
        <v>52900</v>
      </c>
      <c r="H21" s="14" t="s">
        <v>731</v>
      </c>
      <c r="I21" s="14" t="s">
        <v>155</v>
      </c>
      <c r="J21" s="14" t="s">
        <v>156</v>
      </c>
      <c r="K21" s="14" t="s">
        <v>114</v>
      </c>
      <c r="L21" s="14" t="s">
        <v>44</v>
      </c>
      <c r="M21" s="14" t="s">
        <v>115</v>
      </c>
      <c r="N21" s="17" t="s">
        <v>733</v>
      </c>
      <c r="O21" s="14" t="s">
        <v>47</v>
      </c>
      <c r="P21" s="15">
        <v>12000</v>
      </c>
      <c r="Q21" s="14">
        <v>2023</v>
      </c>
      <c r="R21" s="16">
        <v>45383</v>
      </c>
      <c r="S21" s="14" t="s">
        <v>147</v>
      </c>
    </row>
    <row r="22" spans="1:19">
      <c r="A22" t="s">
        <v>157</v>
      </c>
      <c r="B22" t="s">
        <v>21</v>
      </c>
      <c r="C22" t="s">
        <v>117</v>
      </c>
      <c r="D22" t="s">
        <v>23</v>
      </c>
      <c r="E22" t="s">
        <v>51</v>
      </c>
      <c r="F22" t="s">
        <v>25</v>
      </c>
      <c r="G22" s="7">
        <v>29800</v>
      </c>
      <c r="H22" s="14" t="s">
        <v>729</v>
      </c>
      <c r="I22" s="14" t="s">
        <v>158</v>
      </c>
      <c r="J22" s="14" t="s">
        <v>159</v>
      </c>
      <c r="K22" s="14" t="s">
        <v>29</v>
      </c>
      <c r="L22" s="14" t="s">
        <v>30</v>
      </c>
      <c r="M22" s="14" t="s">
        <v>31</v>
      </c>
      <c r="N22" s="21">
        <v>1.5</v>
      </c>
      <c r="O22" s="14" t="s">
        <v>73</v>
      </c>
      <c r="P22" s="15">
        <v>22000</v>
      </c>
      <c r="Q22" s="14">
        <v>2021</v>
      </c>
      <c r="R22" s="16">
        <v>45383</v>
      </c>
      <c r="S22" s="14" t="s">
        <v>147</v>
      </c>
    </row>
    <row r="23" spans="1:19">
      <c r="A23" t="s">
        <v>160</v>
      </c>
      <c r="B23" t="s">
        <v>37</v>
      </c>
      <c r="C23" t="s">
        <v>161</v>
      </c>
      <c r="D23" t="s">
        <v>23</v>
      </c>
      <c r="E23" t="s">
        <v>51</v>
      </c>
      <c r="F23" t="s">
        <v>25</v>
      </c>
      <c r="G23" s="7">
        <v>29500</v>
      </c>
      <c r="H23" s="14" t="s">
        <v>729</v>
      </c>
      <c r="I23" s="14" t="s">
        <v>162</v>
      </c>
      <c r="J23" s="14" t="s">
        <v>163</v>
      </c>
      <c r="K23" s="14" t="s">
        <v>43</v>
      </c>
      <c r="L23" s="14" t="s">
        <v>44</v>
      </c>
      <c r="M23" s="14" t="s">
        <v>125</v>
      </c>
      <c r="N23" s="21">
        <v>1.8</v>
      </c>
      <c r="O23" s="14" t="s">
        <v>33</v>
      </c>
      <c r="P23" s="15">
        <v>9000</v>
      </c>
      <c r="Q23" s="14">
        <v>2023</v>
      </c>
      <c r="R23" s="16">
        <v>45383</v>
      </c>
      <c r="S23" s="14" t="s">
        <v>147</v>
      </c>
    </row>
    <row r="24" spans="1:19">
      <c r="A24" t="s">
        <v>165</v>
      </c>
      <c r="B24" t="s">
        <v>49</v>
      </c>
      <c r="C24" t="s">
        <v>166</v>
      </c>
      <c r="D24" t="s">
        <v>23</v>
      </c>
      <c r="E24" t="s">
        <v>24</v>
      </c>
      <c r="F24" t="s">
        <v>25</v>
      </c>
      <c r="G24" s="7">
        <v>24500</v>
      </c>
      <c r="H24" s="14" t="s">
        <v>26</v>
      </c>
      <c r="I24" s="14" t="s">
        <v>167</v>
      </c>
      <c r="J24" s="14" t="s">
        <v>168</v>
      </c>
      <c r="K24" s="14" t="s">
        <v>129</v>
      </c>
      <c r="L24" s="14" t="s">
        <v>81</v>
      </c>
      <c r="M24" s="14" t="s">
        <v>31</v>
      </c>
      <c r="N24" s="21">
        <v>1.6</v>
      </c>
      <c r="O24" s="14" t="s">
        <v>65</v>
      </c>
      <c r="P24" s="15">
        <v>18000</v>
      </c>
      <c r="Q24" s="14" t="s">
        <v>730</v>
      </c>
      <c r="R24" s="16">
        <v>45383</v>
      </c>
      <c r="S24" s="14" t="s">
        <v>147</v>
      </c>
    </row>
    <row r="25" spans="1:19">
      <c r="A25" t="s">
        <v>170</v>
      </c>
      <c r="B25" t="s">
        <v>59</v>
      </c>
      <c r="C25" t="s">
        <v>67</v>
      </c>
      <c r="D25" t="s">
        <v>68</v>
      </c>
      <c r="E25" t="s">
        <v>69</v>
      </c>
      <c r="F25" t="s">
        <v>25</v>
      </c>
      <c r="G25" s="7">
        <v>32500</v>
      </c>
      <c r="H25" s="14" t="s">
        <v>729</v>
      </c>
      <c r="I25" s="14" t="s">
        <v>171</v>
      </c>
      <c r="J25" s="14" t="s">
        <v>172</v>
      </c>
      <c r="K25" s="14" t="s">
        <v>63</v>
      </c>
      <c r="L25" s="14" t="s">
        <v>44</v>
      </c>
      <c r="M25" s="14" t="s">
        <v>31</v>
      </c>
      <c r="N25" s="21">
        <v>2.4</v>
      </c>
      <c r="O25" s="14" t="s">
        <v>56</v>
      </c>
      <c r="P25" s="15">
        <v>27000</v>
      </c>
      <c r="Q25" s="14">
        <v>2020</v>
      </c>
      <c r="R25" s="16">
        <v>45383</v>
      </c>
      <c r="S25" s="14" t="s">
        <v>147</v>
      </c>
    </row>
    <row r="26" spans="1:19">
      <c r="A26" t="s">
        <v>173</v>
      </c>
      <c r="B26" t="s">
        <v>75</v>
      </c>
      <c r="C26" t="s">
        <v>174</v>
      </c>
      <c r="D26" t="s">
        <v>68</v>
      </c>
      <c r="E26" t="s">
        <v>77</v>
      </c>
      <c r="F26" t="s">
        <v>25</v>
      </c>
      <c r="G26" s="7">
        <v>38900</v>
      </c>
      <c r="H26" s="14" t="s">
        <v>729</v>
      </c>
      <c r="I26" s="14" t="s">
        <v>175</v>
      </c>
      <c r="J26" s="14" t="s">
        <v>176</v>
      </c>
      <c r="K26" s="14" t="s">
        <v>80</v>
      </c>
      <c r="L26" s="14" t="s">
        <v>81</v>
      </c>
      <c r="M26" s="14" t="s">
        <v>31</v>
      </c>
      <c r="N26" s="21">
        <v>3.6</v>
      </c>
      <c r="O26" s="14" t="s">
        <v>177</v>
      </c>
      <c r="P26" s="15">
        <v>15000</v>
      </c>
      <c r="Q26" s="14">
        <v>2022</v>
      </c>
      <c r="R26" s="16">
        <v>45383</v>
      </c>
      <c r="S26" s="14" t="s">
        <v>147</v>
      </c>
    </row>
    <row r="27" spans="1:19">
      <c r="A27" t="s">
        <v>178</v>
      </c>
      <c r="B27" t="s">
        <v>85</v>
      </c>
      <c r="C27" t="s">
        <v>179</v>
      </c>
      <c r="D27" t="s">
        <v>68</v>
      </c>
      <c r="E27" t="s">
        <v>77</v>
      </c>
      <c r="F27" t="s">
        <v>25</v>
      </c>
      <c r="G27" s="7">
        <v>36800</v>
      </c>
      <c r="H27" s="14" t="s">
        <v>729</v>
      </c>
      <c r="I27" s="14" t="s">
        <v>180</v>
      </c>
      <c r="J27" s="14" t="s">
        <v>181</v>
      </c>
      <c r="K27" s="14" t="s">
        <v>92</v>
      </c>
      <c r="L27" s="14" t="s">
        <v>93</v>
      </c>
      <c r="M27" s="14" t="s">
        <v>31</v>
      </c>
      <c r="N27" s="21">
        <v>2.2999999999999998</v>
      </c>
      <c r="O27" s="14" t="s">
        <v>33</v>
      </c>
      <c r="P27" s="15">
        <v>25000</v>
      </c>
      <c r="Q27" s="14">
        <v>2021</v>
      </c>
      <c r="R27" s="16">
        <v>45383</v>
      </c>
      <c r="S27" s="14" t="s">
        <v>147</v>
      </c>
    </row>
    <row r="28" spans="1:19">
      <c r="A28" t="s">
        <v>183</v>
      </c>
      <c r="B28" t="s">
        <v>96</v>
      </c>
      <c r="C28" t="s">
        <v>184</v>
      </c>
      <c r="D28" t="s">
        <v>68</v>
      </c>
      <c r="E28" t="s">
        <v>69</v>
      </c>
      <c r="F28" t="s">
        <v>25</v>
      </c>
      <c r="G28" s="7">
        <v>28900</v>
      </c>
      <c r="H28" s="14" t="s">
        <v>729</v>
      </c>
      <c r="I28" s="14" t="s">
        <v>185</v>
      </c>
      <c r="J28" s="14" t="s">
        <v>186</v>
      </c>
      <c r="K28" s="14" t="s">
        <v>99</v>
      </c>
      <c r="L28" s="14" t="s">
        <v>93</v>
      </c>
      <c r="M28" s="14" t="s">
        <v>31</v>
      </c>
      <c r="N28" s="21">
        <v>1.5</v>
      </c>
      <c r="O28" s="14" t="s">
        <v>47</v>
      </c>
      <c r="P28" s="15">
        <v>20000</v>
      </c>
      <c r="Q28" s="14">
        <v>2022</v>
      </c>
      <c r="R28" s="16">
        <v>45383</v>
      </c>
      <c r="S28" s="14" t="s">
        <v>147</v>
      </c>
    </row>
    <row r="29" spans="1:19">
      <c r="A29" t="s">
        <v>188</v>
      </c>
      <c r="B29" t="s">
        <v>101</v>
      </c>
      <c r="C29" t="s">
        <v>189</v>
      </c>
      <c r="D29" t="s">
        <v>23</v>
      </c>
      <c r="E29" t="s">
        <v>51</v>
      </c>
      <c r="F29" t="s">
        <v>103</v>
      </c>
      <c r="G29" s="7">
        <v>42900</v>
      </c>
      <c r="H29" s="14" t="s">
        <v>731</v>
      </c>
      <c r="I29" s="14" t="s">
        <v>190</v>
      </c>
      <c r="J29" s="14" t="s">
        <v>136</v>
      </c>
      <c r="K29" s="14" t="s">
        <v>106</v>
      </c>
      <c r="L29" s="14" t="s">
        <v>30</v>
      </c>
      <c r="M29" s="14" t="s">
        <v>31</v>
      </c>
      <c r="N29" s="21">
        <v>2</v>
      </c>
      <c r="O29" s="14" t="s">
        <v>73</v>
      </c>
      <c r="P29" s="15">
        <v>28000</v>
      </c>
      <c r="Q29" s="14">
        <v>2020</v>
      </c>
      <c r="R29" s="16">
        <v>45413</v>
      </c>
      <c r="S29" s="14" t="s">
        <v>147</v>
      </c>
    </row>
    <row r="30" spans="1:19">
      <c r="A30" t="s">
        <v>192</v>
      </c>
      <c r="B30" t="s">
        <v>109</v>
      </c>
      <c r="C30" t="s">
        <v>193</v>
      </c>
      <c r="D30" t="s">
        <v>68</v>
      </c>
      <c r="E30" t="s">
        <v>77</v>
      </c>
      <c r="F30" t="s">
        <v>103</v>
      </c>
      <c r="G30" s="7">
        <v>58900</v>
      </c>
      <c r="H30" s="14" t="s">
        <v>731</v>
      </c>
      <c r="I30" s="14" t="s">
        <v>194</v>
      </c>
      <c r="J30" s="14" t="s">
        <v>140</v>
      </c>
      <c r="K30" s="14" t="s">
        <v>114</v>
      </c>
      <c r="L30" s="14" t="s">
        <v>44</v>
      </c>
      <c r="M30" s="14" t="s">
        <v>115</v>
      </c>
      <c r="N30" s="17" t="s">
        <v>733</v>
      </c>
      <c r="O30" s="14" t="s">
        <v>83</v>
      </c>
      <c r="P30" s="15">
        <v>6000</v>
      </c>
      <c r="Q30" s="14">
        <v>2024</v>
      </c>
      <c r="R30" s="16">
        <v>45413</v>
      </c>
      <c r="S30" s="14" t="s">
        <v>147</v>
      </c>
    </row>
    <row r="31" spans="1:19">
      <c r="A31" t="s">
        <v>195</v>
      </c>
      <c r="B31" t="s">
        <v>21</v>
      </c>
      <c r="C31" t="s">
        <v>196</v>
      </c>
      <c r="D31" t="s">
        <v>68</v>
      </c>
      <c r="E31" t="s">
        <v>69</v>
      </c>
      <c r="F31" t="s">
        <v>25</v>
      </c>
      <c r="G31" s="7">
        <v>33500</v>
      </c>
      <c r="H31" s="14" t="s">
        <v>729</v>
      </c>
      <c r="I31" s="14" t="s">
        <v>197</v>
      </c>
      <c r="J31" s="14" t="s">
        <v>198</v>
      </c>
      <c r="K31" s="14" t="s">
        <v>29</v>
      </c>
      <c r="L31" s="14" t="s">
        <v>30</v>
      </c>
      <c r="M31" s="14" t="s">
        <v>31</v>
      </c>
      <c r="N31" s="21">
        <v>1.5</v>
      </c>
      <c r="O31" s="14" t="s">
        <v>65</v>
      </c>
      <c r="P31" s="15">
        <v>16000</v>
      </c>
      <c r="Q31" s="14">
        <v>2022</v>
      </c>
      <c r="R31" s="16">
        <v>45413</v>
      </c>
      <c r="S31" s="14" t="s">
        <v>147</v>
      </c>
    </row>
    <row r="32" spans="1:19">
      <c r="A32" t="s">
        <v>199</v>
      </c>
      <c r="B32" t="s">
        <v>37</v>
      </c>
      <c r="C32" t="s">
        <v>200</v>
      </c>
      <c r="D32" t="s">
        <v>68</v>
      </c>
      <c r="E32" t="s">
        <v>69</v>
      </c>
      <c r="F32" t="s">
        <v>25</v>
      </c>
      <c r="G32" s="7">
        <v>35800</v>
      </c>
      <c r="H32" s="14" t="s">
        <v>729</v>
      </c>
      <c r="I32" s="14" t="s">
        <v>201</v>
      </c>
      <c r="J32" s="14" t="s">
        <v>202</v>
      </c>
      <c r="K32" s="14" t="s">
        <v>43</v>
      </c>
      <c r="L32" s="14" t="s">
        <v>44</v>
      </c>
      <c r="M32" s="14" t="s">
        <v>31</v>
      </c>
      <c r="N32" s="21">
        <v>2.5</v>
      </c>
      <c r="O32" s="14" t="s">
        <v>56</v>
      </c>
      <c r="P32" s="15">
        <v>11000</v>
      </c>
      <c r="Q32" s="14">
        <v>2023</v>
      </c>
      <c r="R32" s="16">
        <v>45413</v>
      </c>
      <c r="S32" s="14" t="s">
        <v>147</v>
      </c>
    </row>
    <row r="33" spans="1:19">
      <c r="A33" t="s">
        <v>203</v>
      </c>
      <c r="B33" t="s">
        <v>49</v>
      </c>
      <c r="C33" t="s">
        <v>204</v>
      </c>
      <c r="D33" t="s">
        <v>68</v>
      </c>
      <c r="E33" t="s">
        <v>69</v>
      </c>
      <c r="F33" t="s">
        <v>25</v>
      </c>
      <c r="G33" s="7">
        <v>29800</v>
      </c>
      <c r="H33" s="14" t="s">
        <v>729</v>
      </c>
      <c r="I33" s="14" t="s">
        <v>205</v>
      </c>
      <c r="J33" s="14" t="s">
        <v>105</v>
      </c>
      <c r="K33" s="14" t="s">
        <v>129</v>
      </c>
      <c r="L33" s="14" t="s">
        <v>81</v>
      </c>
      <c r="M33" s="14" t="s">
        <v>31</v>
      </c>
      <c r="N33" s="21">
        <v>2.5</v>
      </c>
      <c r="O33" s="14" t="s">
        <v>33</v>
      </c>
      <c r="P33" s="15">
        <v>24000</v>
      </c>
      <c r="Q33" s="14">
        <v>2021</v>
      </c>
      <c r="R33" s="16">
        <v>45413</v>
      </c>
      <c r="S33" s="14" t="s">
        <v>147</v>
      </c>
    </row>
    <row r="34" spans="1:19">
      <c r="A34" t="s">
        <v>207</v>
      </c>
      <c r="B34" t="s">
        <v>59</v>
      </c>
      <c r="C34" t="s">
        <v>208</v>
      </c>
      <c r="D34" t="s">
        <v>23</v>
      </c>
      <c r="E34" t="s">
        <v>51</v>
      </c>
      <c r="F34" t="s">
        <v>25</v>
      </c>
      <c r="G34" s="7">
        <v>26500</v>
      </c>
      <c r="H34" s="14" t="s">
        <v>729</v>
      </c>
      <c r="I34" s="14" t="s">
        <v>209</v>
      </c>
      <c r="J34" s="14" t="s">
        <v>210</v>
      </c>
      <c r="K34" s="14" t="s">
        <v>63</v>
      </c>
      <c r="L34" s="14" t="s">
        <v>44</v>
      </c>
      <c r="M34" s="14" t="s">
        <v>31</v>
      </c>
      <c r="N34" s="21">
        <v>2.5</v>
      </c>
      <c r="O34" s="14" t="s">
        <v>73</v>
      </c>
      <c r="P34" s="15">
        <v>19000</v>
      </c>
      <c r="Q34" s="14">
        <v>2022</v>
      </c>
      <c r="R34" s="16">
        <v>45413</v>
      </c>
      <c r="S34" s="14" t="s">
        <v>147</v>
      </c>
    </row>
    <row r="35" spans="1:19">
      <c r="A35" t="s">
        <v>211</v>
      </c>
      <c r="B35" t="s">
        <v>75</v>
      </c>
      <c r="C35" t="s">
        <v>212</v>
      </c>
      <c r="D35" t="s">
        <v>68</v>
      </c>
      <c r="E35" t="s">
        <v>77</v>
      </c>
      <c r="F35" t="s">
        <v>25</v>
      </c>
      <c r="G35" s="7">
        <v>27900</v>
      </c>
      <c r="H35" s="14" t="s">
        <v>729</v>
      </c>
      <c r="I35" s="14" t="s">
        <v>213</v>
      </c>
      <c r="J35" s="14" t="s">
        <v>214</v>
      </c>
      <c r="K35" s="14" t="s">
        <v>80</v>
      </c>
      <c r="L35" s="14" t="s">
        <v>81</v>
      </c>
      <c r="M35" s="14" t="s">
        <v>31</v>
      </c>
      <c r="N35" s="21">
        <v>2.4</v>
      </c>
      <c r="O35" s="14" t="s">
        <v>47</v>
      </c>
      <c r="P35" s="15">
        <v>22000</v>
      </c>
      <c r="Q35" s="14">
        <v>2021</v>
      </c>
      <c r="R35" s="16">
        <v>45413</v>
      </c>
      <c r="S35" s="14" t="s">
        <v>147</v>
      </c>
    </row>
    <row r="36" spans="1:19">
      <c r="A36" t="s">
        <v>215</v>
      </c>
      <c r="B36" t="s">
        <v>85</v>
      </c>
      <c r="C36" t="s">
        <v>216</v>
      </c>
      <c r="D36" t="s">
        <v>68</v>
      </c>
      <c r="E36" t="s">
        <v>69</v>
      </c>
      <c r="F36" t="s">
        <v>25</v>
      </c>
      <c r="G36" s="7">
        <v>30200</v>
      </c>
      <c r="H36" s="14" t="s">
        <v>729</v>
      </c>
      <c r="I36" s="14" t="s">
        <v>217</v>
      </c>
      <c r="J36" s="14" t="s">
        <v>218</v>
      </c>
      <c r="K36" s="14" t="s">
        <v>92</v>
      </c>
      <c r="L36" s="14" t="s">
        <v>93</v>
      </c>
      <c r="M36" s="14" t="s">
        <v>31</v>
      </c>
      <c r="N36" s="21">
        <v>1.5</v>
      </c>
      <c r="O36" s="14" t="s">
        <v>83</v>
      </c>
      <c r="P36" s="15">
        <v>17000</v>
      </c>
      <c r="Q36" s="14">
        <v>2022</v>
      </c>
      <c r="R36" s="16">
        <v>45413</v>
      </c>
      <c r="S36" s="14" t="s">
        <v>147</v>
      </c>
    </row>
    <row r="37" spans="1:19">
      <c r="A37" t="s">
        <v>219</v>
      </c>
      <c r="B37" t="s">
        <v>96</v>
      </c>
      <c r="C37" t="s">
        <v>220</v>
      </c>
      <c r="D37" t="s">
        <v>68</v>
      </c>
      <c r="E37" t="s">
        <v>77</v>
      </c>
      <c r="F37" t="s">
        <v>25</v>
      </c>
      <c r="G37" s="7">
        <v>39500</v>
      </c>
      <c r="H37" s="14" t="s">
        <v>729</v>
      </c>
      <c r="I37" s="14" t="s">
        <v>221</v>
      </c>
      <c r="J37" s="14" t="s">
        <v>79</v>
      </c>
      <c r="K37" s="14" t="s">
        <v>99</v>
      </c>
      <c r="L37" s="14" t="s">
        <v>93</v>
      </c>
      <c r="M37" s="14" t="s">
        <v>31</v>
      </c>
      <c r="N37" s="21">
        <v>3.6</v>
      </c>
      <c r="O37" s="14" t="s">
        <v>33</v>
      </c>
      <c r="P37" s="15">
        <v>26000</v>
      </c>
      <c r="Q37" s="14">
        <v>2020</v>
      </c>
      <c r="R37" s="16">
        <v>45413</v>
      </c>
      <c r="S37" s="14" t="s">
        <v>147</v>
      </c>
    </row>
    <row r="38" spans="1:19">
      <c r="A38" t="s">
        <v>222</v>
      </c>
      <c r="B38" t="s">
        <v>101</v>
      </c>
      <c r="C38" t="s">
        <v>223</v>
      </c>
      <c r="D38" t="s">
        <v>68</v>
      </c>
      <c r="E38" t="s">
        <v>77</v>
      </c>
      <c r="F38" t="s">
        <v>103</v>
      </c>
      <c r="G38" s="7">
        <v>38900</v>
      </c>
      <c r="H38" s="14" t="s">
        <v>729</v>
      </c>
      <c r="I38" s="14" t="s">
        <v>224</v>
      </c>
      <c r="J38" s="14" t="s">
        <v>225</v>
      </c>
      <c r="K38" s="14" t="s">
        <v>106</v>
      </c>
      <c r="L38" s="14" t="s">
        <v>30</v>
      </c>
      <c r="M38" s="14" t="s">
        <v>31</v>
      </c>
      <c r="N38" s="21">
        <v>2</v>
      </c>
      <c r="O38" s="14" t="s">
        <v>56</v>
      </c>
      <c r="P38" s="15">
        <v>21000</v>
      </c>
      <c r="Q38" s="14">
        <v>2021</v>
      </c>
      <c r="R38" s="16">
        <v>45413</v>
      </c>
      <c r="S38" s="14" t="s">
        <v>147</v>
      </c>
    </row>
    <row r="39" spans="1:19">
      <c r="A39" t="s">
        <v>226</v>
      </c>
      <c r="B39" t="s">
        <v>109</v>
      </c>
      <c r="C39" t="s">
        <v>227</v>
      </c>
      <c r="D39" t="s">
        <v>68</v>
      </c>
      <c r="E39" t="s">
        <v>77</v>
      </c>
      <c r="F39" t="s">
        <v>103</v>
      </c>
      <c r="G39" s="7">
        <v>99900</v>
      </c>
      <c r="H39" s="14" t="s">
        <v>734</v>
      </c>
      <c r="I39" s="14" t="s">
        <v>229</v>
      </c>
      <c r="J39" s="14" t="s">
        <v>230</v>
      </c>
      <c r="K39" s="14" t="s">
        <v>114</v>
      </c>
      <c r="L39" s="14" t="s">
        <v>44</v>
      </c>
      <c r="M39" s="14" t="s">
        <v>115</v>
      </c>
      <c r="N39" s="17" t="s">
        <v>733</v>
      </c>
      <c r="O39" s="14" t="s">
        <v>47</v>
      </c>
      <c r="P39" s="15">
        <v>4000</v>
      </c>
      <c r="Q39" s="14">
        <v>2024</v>
      </c>
      <c r="R39" s="16">
        <v>45413</v>
      </c>
      <c r="S39" s="14" t="s">
        <v>147</v>
      </c>
    </row>
    <row r="40" spans="1:19">
      <c r="A40" t="s">
        <v>232</v>
      </c>
      <c r="B40" t="s">
        <v>21</v>
      </c>
      <c r="C40" t="s">
        <v>233</v>
      </c>
      <c r="D40" t="s">
        <v>68</v>
      </c>
      <c r="E40" t="s">
        <v>77</v>
      </c>
      <c r="F40" t="s">
        <v>25</v>
      </c>
      <c r="G40" s="7">
        <v>42500</v>
      </c>
      <c r="H40" s="14" t="s">
        <v>731</v>
      </c>
      <c r="I40" s="14" t="s">
        <v>234</v>
      </c>
      <c r="J40" s="14" t="s">
        <v>235</v>
      </c>
      <c r="K40" s="14" t="s">
        <v>29</v>
      </c>
      <c r="L40" s="14" t="s">
        <v>30</v>
      </c>
      <c r="M40" s="14" t="s">
        <v>31</v>
      </c>
      <c r="N40" s="21">
        <v>3.5</v>
      </c>
      <c r="O40" s="14" t="s">
        <v>73</v>
      </c>
      <c r="P40" s="15">
        <v>23000</v>
      </c>
      <c r="Q40" s="14">
        <v>2021</v>
      </c>
      <c r="R40" s="16">
        <v>45413</v>
      </c>
      <c r="S40" s="14" t="s">
        <v>147</v>
      </c>
    </row>
    <row r="41" spans="1:19">
      <c r="A41" t="s">
        <v>237</v>
      </c>
      <c r="B41" t="s">
        <v>37</v>
      </c>
      <c r="C41" t="s">
        <v>238</v>
      </c>
      <c r="D41" t="s">
        <v>68</v>
      </c>
      <c r="E41" t="s">
        <v>77</v>
      </c>
      <c r="F41" t="s">
        <v>25</v>
      </c>
      <c r="G41" s="7">
        <v>44800</v>
      </c>
      <c r="H41" s="14" t="s">
        <v>731</v>
      </c>
      <c r="I41" s="14" t="s">
        <v>239</v>
      </c>
      <c r="J41" s="14" t="s">
        <v>240</v>
      </c>
      <c r="K41" s="14" t="s">
        <v>43</v>
      </c>
      <c r="L41" s="14" t="s">
        <v>44</v>
      </c>
      <c r="M41" s="14" t="s">
        <v>31</v>
      </c>
      <c r="N41" s="21">
        <v>3.5</v>
      </c>
      <c r="O41" s="14" t="s">
        <v>83</v>
      </c>
      <c r="P41" s="15">
        <v>18000</v>
      </c>
      <c r="Q41" s="14">
        <v>2022</v>
      </c>
      <c r="R41" s="16">
        <v>45444</v>
      </c>
      <c r="S41" s="14" t="s">
        <v>147</v>
      </c>
    </row>
    <row r="42" spans="1:19">
      <c r="A42" t="s">
        <v>242</v>
      </c>
      <c r="B42" t="s">
        <v>49</v>
      </c>
      <c r="C42" t="s">
        <v>243</v>
      </c>
      <c r="D42" t="s">
        <v>68</v>
      </c>
      <c r="E42" t="s">
        <v>77</v>
      </c>
      <c r="F42" t="s">
        <v>25</v>
      </c>
      <c r="G42" s="7">
        <v>34500</v>
      </c>
      <c r="H42" s="14" t="s">
        <v>729</v>
      </c>
      <c r="I42" s="14" t="s">
        <v>244</v>
      </c>
      <c r="J42" s="14" t="s">
        <v>245</v>
      </c>
      <c r="K42" s="14" t="s">
        <v>129</v>
      </c>
      <c r="L42" s="14" t="s">
        <v>81</v>
      </c>
      <c r="M42" s="14" t="s">
        <v>31</v>
      </c>
      <c r="N42" s="21">
        <v>3.5</v>
      </c>
      <c r="O42" s="14" t="s">
        <v>65</v>
      </c>
      <c r="P42" s="15">
        <v>25000</v>
      </c>
      <c r="Q42" s="14">
        <v>2020</v>
      </c>
      <c r="R42" s="16">
        <v>45444</v>
      </c>
      <c r="S42" s="14" t="s">
        <v>147</v>
      </c>
    </row>
    <row r="43" spans="1:19">
      <c r="A43" t="s">
        <v>246</v>
      </c>
      <c r="B43" t="s">
        <v>59</v>
      </c>
      <c r="C43" t="s">
        <v>247</v>
      </c>
      <c r="D43" t="s">
        <v>23</v>
      </c>
      <c r="E43" t="s">
        <v>51</v>
      </c>
      <c r="F43" t="s">
        <v>25</v>
      </c>
      <c r="G43" s="7">
        <v>48900</v>
      </c>
      <c r="H43" s="14" t="s">
        <v>731</v>
      </c>
      <c r="I43" s="14" t="s">
        <v>248</v>
      </c>
      <c r="J43" s="14" t="s">
        <v>249</v>
      </c>
      <c r="K43" s="14" t="s">
        <v>63</v>
      </c>
      <c r="L43" s="14" t="s">
        <v>44</v>
      </c>
      <c r="M43" s="14" t="s">
        <v>31</v>
      </c>
      <c r="N43" s="21">
        <v>3.3</v>
      </c>
      <c r="O43" s="14" t="s">
        <v>33</v>
      </c>
      <c r="P43" s="15">
        <v>14000</v>
      </c>
      <c r="Q43" s="14">
        <v>2023</v>
      </c>
      <c r="R43" s="16">
        <v>45444</v>
      </c>
      <c r="S43" s="14" t="s">
        <v>147</v>
      </c>
    </row>
    <row r="44" spans="1:19">
      <c r="A44" t="s">
        <v>252</v>
      </c>
      <c r="B44" t="s">
        <v>75</v>
      </c>
      <c r="C44" t="s">
        <v>253</v>
      </c>
      <c r="D44" t="s">
        <v>68</v>
      </c>
      <c r="E44" t="s">
        <v>77</v>
      </c>
      <c r="F44" t="s">
        <v>25</v>
      </c>
      <c r="G44" s="7">
        <v>31800</v>
      </c>
      <c r="H44" s="14" t="s">
        <v>729</v>
      </c>
      <c r="I44" s="14" t="s">
        <v>254</v>
      </c>
      <c r="J44" s="14" t="s">
        <v>255</v>
      </c>
      <c r="K44" s="14" t="s">
        <v>80</v>
      </c>
      <c r="L44" s="14" t="s">
        <v>81</v>
      </c>
      <c r="M44" s="14" t="s">
        <v>31</v>
      </c>
      <c r="N44" s="21">
        <v>2.4</v>
      </c>
      <c r="O44" s="14" t="s">
        <v>56</v>
      </c>
      <c r="P44" s="15">
        <v>20000</v>
      </c>
      <c r="Q44" s="14">
        <v>2021</v>
      </c>
      <c r="R44" s="16">
        <v>45444</v>
      </c>
      <c r="S44" s="14" t="s">
        <v>147</v>
      </c>
    </row>
    <row r="45" spans="1:19">
      <c r="A45" t="s">
        <v>256</v>
      </c>
      <c r="B45" t="s">
        <v>85</v>
      </c>
      <c r="C45" t="s">
        <v>257</v>
      </c>
      <c r="D45" t="s">
        <v>258</v>
      </c>
      <c r="E45" t="s">
        <v>259</v>
      </c>
      <c r="F45" t="s">
        <v>25</v>
      </c>
      <c r="G45" s="7">
        <v>35900</v>
      </c>
      <c r="H45" s="14" t="s">
        <v>729</v>
      </c>
      <c r="I45" s="14" t="s">
        <v>260</v>
      </c>
      <c r="J45" s="14" t="s">
        <v>261</v>
      </c>
      <c r="K45" s="14" t="s">
        <v>92</v>
      </c>
      <c r="L45" s="14" t="s">
        <v>93</v>
      </c>
      <c r="M45" s="14" t="s">
        <v>31</v>
      </c>
      <c r="N45" s="21">
        <v>2.2999999999999998</v>
      </c>
      <c r="O45" s="14" t="s">
        <v>65</v>
      </c>
      <c r="P45" s="15">
        <v>8000</v>
      </c>
      <c r="Q45" s="14">
        <v>2023</v>
      </c>
      <c r="R45" s="16">
        <v>45444</v>
      </c>
      <c r="S45" s="14" t="s">
        <v>147</v>
      </c>
    </row>
    <row r="46" spans="1:19">
      <c r="A46" t="s">
        <v>262</v>
      </c>
      <c r="B46" t="s">
        <v>96</v>
      </c>
      <c r="C46" t="s">
        <v>263</v>
      </c>
      <c r="D46" t="s">
        <v>258</v>
      </c>
      <c r="E46" t="s">
        <v>259</v>
      </c>
      <c r="F46" t="s">
        <v>25</v>
      </c>
      <c r="G46" s="7">
        <v>35901</v>
      </c>
      <c r="H46" s="14" t="s">
        <v>729</v>
      </c>
      <c r="I46" s="14" t="s">
        <v>260</v>
      </c>
      <c r="J46" s="14" t="s">
        <v>261</v>
      </c>
      <c r="K46" s="14" t="s">
        <v>92</v>
      </c>
      <c r="L46" s="14" t="s">
        <v>93</v>
      </c>
      <c r="M46" s="14" t="s">
        <v>31</v>
      </c>
      <c r="N46" s="21">
        <v>2.2999999999999998</v>
      </c>
      <c r="O46" s="14" t="s">
        <v>65</v>
      </c>
      <c r="P46" s="15">
        <v>8000</v>
      </c>
      <c r="Q46" s="14">
        <v>2023</v>
      </c>
      <c r="R46" s="16">
        <v>45444</v>
      </c>
      <c r="S46" s="14" t="s">
        <v>147</v>
      </c>
    </row>
    <row r="47" spans="1:19">
      <c r="A47" t="s">
        <v>264</v>
      </c>
      <c r="B47" t="s">
        <v>101</v>
      </c>
      <c r="C47" t="s">
        <v>265</v>
      </c>
      <c r="D47" t="s">
        <v>258</v>
      </c>
      <c r="E47" t="s">
        <v>266</v>
      </c>
      <c r="F47" t="s">
        <v>103</v>
      </c>
      <c r="G47" s="7">
        <v>49900</v>
      </c>
      <c r="H47" s="14" t="s">
        <v>731</v>
      </c>
      <c r="I47" s="14" t="s">
        <v>267</v>
      </c>
      <c r="J47" s="14" t="s">
        <v>268</v>
      </c>
      <c r="K47" s="14" t="s">
        <v>106</v>
      </c>
      <c r="L47" s="14" t="s">
        <v>30</v>
      </c>
      <c r="M47" s="14" t="s">
        <v>31</v>
      </c>
      <c r="N47" s="21">
        <v>2</v>
      </c>
      <c r="O47" s="14" t="s">
        <v>73</v>
      </c>
      <c r="P47" s="15">
        <v>15000</v>
      </c>
      <c r="Q47" s="14">
        <v>2022</v>
      </c>
      <c r="R47" s="16">
        <v>45444</v>
      </c>
      <c r="S47" s="14" t="s">
        <v>147</v>
      </c>
    </row>
    <row r="48" spans="1:19">
      <c r="A48" t="s">
        <v>269</v>
      </c>
      <c r="B48" t="s">
        <v>21</v>
      </c>
      <c r="C48" t="s">
        <v>270</v>
      </c>
      <c r="D48" t="s">
        <v>87</v>
      </c>
      <c r="E48" t="s">
        <v>88</v>
      </c>
      <c r="F48" t="s">
        <v>25</v>
      </c>
      <c r="G48" s="7">
        <v>39800</v>
      </c>
      <c r="H48" s="14" t="s">
        <v>729</v>
      </c>
      <c r="I48" s="14" t="s">
        <v>271</v>
      </c>
      <c r="J48" s="14" t="s">
        <v>272</v>
      </c>
      <c r="K48" s="14" t="s">
        <v>29</v>
      </c>
      <c r="L48" s="14" t="s">
        <v>30</v>
      </c>
      <c r="M48" s="14" t="s">
        <v>31</v>
      </c>
      <c r="N48" s="21">
        <v>3.5</v>
      </c>
      <c r="O48" s="14" t="s">
        <v>47</v>
      </c>
      <c r="P48" s="15">
        <v>19000</v>
      </c>
      <c r="Q48" s="14">
        <v>2021</v>
      </c>
      <c r="R48" s="16">
        <v>45444</v>
      </c>
      <c r="S48" s="14" t="s">
        <v>147</v>
      </c>
    </row>
    <row r="49" spans="1:19">
      <c r="A49" t="s">
        <v>273</v>
      </c>
      <c r="B49" t="s">
        <v>37</v>
      </c>
      <c r="C49" t="s">
        <v>274</v>
      </c>
      <c r="D49" t="s">
        <v>87</v>
      </c>
      <c r="E49" t="s">
        <v>88</v>
      </c>
      <c r="F49" t="s">
        <v>25</v>
      </c>
      <c r="G49" s="7">
        <v>33500</v>
      </c>
      <c r="H49" s="14" t="s">
        <v>729</v>
      </c>
      <c r="I49" s="14" t="s">
        <v>275</v>
      </c>
      <c r="J49" s="14" t="s">
        <v>276</v>
      </c>
      <c r="K49" s="14" t="s">
        <v>43</v>
      </c>
      <c r="L49" s="14" t="s">
        <v>44</v>
      </c>
      <c r="M49" s="14" t="s">
        <v>31</v>
      </c>
      <c r="N49" s="21">
        <v>2.7</v>
      </c>
      <c r="O49" s="14" t="s">
        <v>83</v>
      </c>
      <c r="P49" s="15">
        <v>21000</v>
      </c>
      <c r="Q49" s="14">
        <v>2020</v>
      </c>
      <c r="R49" s="16">
        <v>45444</v>
      </c>
      <c r="S49" s="14" t="s">
        <v>147</v>
      </c>
    </row>
    <row r="50" spans="1:19">
      <c r="A50" t="s">
        <v>278</v>
      </c>
      <c r="B50" t="s">
        <v>49</v>
      </c>
      <c r="C50" t="s">
        <v>279</v>
      </c>
      <c r="D50" t="s">
        <v>87</v>
      </c>
      <c r="E50" t="s">
        <v>88</v>
      </c>
      <c r="F50" t="s">
        <v>25</v>
      </c>
      <c r="G50" s="7">
        <v>37900</v>
      </c>
      <c r="H50" s="14" t="s">
        <v>729</v>
      </c>
      <c r="I50" s="14" t="s">
        <v>280</v>
      </c>
      <c r="J50" s="14" t="s">
        <v>281</v>
      </c>
      <c r="K50" s="14" t="s">
        <v>129</v>
      </c>
      <c r="L50" s="14" t="s">
        <v>81</v>
      </c>
      <c r="M50" s="14" t="s">
        <v>31</v>
      </c>
      <c r="N50" s="21">
        <v>5.6</v>
      </c>
      <c r="O50" s="14" t="s">
        <v>33</v>
      </c>
      <c r="P50" s="15">
        <v>24000</v>
      </c>
      <c r="Q50" s="14">
        <v>2020</v>
      </c>
      <c r="R50" s="16">
        <v>45444</v>
      </c>
      <c r="S50" s="14" t="s">
        <v>147</v>
      </c>
    </row>
    <row r="51" spans="1:19">
      <c r="A51" t="s">
        <v>283</v>
      </c>
      <c r="B51" t="s">
        <v>85</v>
      </c>
      <c r="C51" t="s">
        <v>284</v>
      </c>
      <c r="D51" t="s">
        <v>87</v>
      </c>
      <c r="E51" t="s">
        <v>88</v>
      </c>
      <c r="F51" t="s">
        <v>25</v>
      </c>
      <c r="G51" s="7">
        <v>29800</v>
      </c>
      <c r="H51" s="14" t="s">
        <v>729</v>
      </c>
      <c r="I51" s="14" t="s">
        <v>285</v>
      </c>
      <c r="J51" s="14" t="s">
        <v>286</v>
      </c>
      <c r="K51" s="14" t="s">
        <v>92</v>
      </c>
      <c r="L51" s="14" t="s">
        <v>93</v>
      </c>
      <c r="M51" s="14" t="s">
        <v>31</v>
      </c>
      <c r="N51" s="21">
        <v>2.2999999999999998</v>
      </c>
      <c r="O51" s="14" t="s">
        <v>73</v>
      </c>
      <c r="P51" s="15">
        <v>16000</v>
      </c>
      <c r="Q51" s="14">
        <v>2022</v>
      </c>
      <c r="R51" s="16">
        <v>45444</v>
      </c>
      <c r="S51" s="14" t="s">
        <v>147</v>
      </c>
    </row>
    <row r="52" spans="1:19">
      <c r="A52" t="s">
        <v>287</v>
      </c>
      <c r="B52" t="s">
        <v>96</v>
      </c>
      <c r="C52" t="s">
        <v>288</v>
      </c>
      <c r="D52" t="s">
        <v>87</v>
      </c>
      <c r="E52" t="s">
        <v>88</v>
      </c>
      <c r="F52" t="s">
        <v>25</v>
      </c>
      <c r="G52" s="7">
        <v>41200</v>
      </c>
      <c r="H52" s="14" t="s">
        <v>731</v>
      </c>
      <c r="I52" s="14" t="s">
        <v>289</v>
      </c>
      <c r="J52" s="14" t="s">
        <v>290</v>
      </c>
      <c r="K52" s="14" t="s">
        <v>99</v>
      </c>
      <c r="L52" s="14" t="s">
        <v>93</v>
      </c>
      <c r="M52" s="14" t="s">
        <v>31</v>
      </c>
      <c r="N52" s="21">
        <v>4.3</v>
      </c>
      <c r="O52" s="14" t="s">
        <v>65</v>
      </c>
      <c r="P52" s="15">
        <v>22000</v>
      </c>
      <c r="Q52" s="14">
        <v>2021</v>
      </c>
      <c r="R52" s="16">
        <v>45444</v>
      </c>
      <c r="S52" s="14" t="s">
        <v>147</v>
      </c>
    </row>
    <row r="53" spans="1:19">
      <c r="A53" t="s">
        <v>292</v>
      </c>
      <c r="B53" t="s">
        <v>109</v>
      </c>
      <c r="C53" t="s">
        <v>293</v>
      </c>
      <c r="D53" t="s">
        <v>87</v>
      </c>
      <c r="E53" t="s">
        <v>88</v>
      </c>
      <c r="F53" t="s">
        <v>103</v>
      </c>
      <c r="G53" s="7">
        <v>79900</v>
      </c>
      <c r="H53" s="14" t="s">
        <v>732</v>
      </c>
      <c r="I53" s="14" t="s">
        <v>294</v>
      </c>
      <c r="J53" s="14" t="s">
        <v>295</v>
      </c>
      <c r="K53" s="14" t="s">
        <v>114</v>
      </c>
      <c r="L53" s="14" t="s">
        <v>44</v>
      </c>
      <c r="M53" s="14" t="s">
        <v>115</v>
      </c>
      <c r="N53" s="17" t="s">
        <v>733</v>
      </c>
      <c r="O53" s="14" t="s">
        <v>56</v>
      </c>
      <c r="P53" s="15">
        <v>1000</v>
      </c>
      <c r="Q53" s="14">
        <v>2024</v>
      </c>
      <c r="R53" s="16">
        <v>45444</v>
      </c>
      <c r="S53" s="14" t="s">
        <v>147</v>
      </c>
    </row>
    <row r="54" spans="1:19">
      <c r="A54" t="s">
        <v>296</v>
      </c>
      <c r="B54" t="s">
        <v>21</v>
      </c>
      <c r="C54" t="s">
        <v>297</v>
      </c>
      <c r="D54" t="s">
        <v>23</v>
      </c>
      <c r="E54" t="s">
        <v>51</v>
      </c>
      <c r="F54" t="s">
        <v>25</v>
      </c>
      <c r="G54" s="7">
        <v>26900</v>
      </c>
      <c r="H54" s="14" t="s">
        <v>729</v>
      </c>
      <c r="I54" s="14" t="s">
        <v>298</v>
      </c>
      <c r="J54" s="14" t="s">
        <v>299</v>
      </c>
      <c r="K54" s="14" t="s">
        <v>29</v>
      </c>
      <c r="L54" s="14" t="s">
        <v>30</v>
      </c>
      <c r="M54" s="14" t="s">
        <v>125</v>
      </c>
      <c r="N54" s="21">
        <v>1.5</v>
      </c>
      <c r="O54" s="14" t="s">
        <v>33</v>
      </c>
      <c r="P54" s="15">
        <v>13000</v>
      </c>
      <c r="Q54" s="14">
        <v>2022</v>
      </c>
      <c r="R54" s="16">
        <v>45474</v>
      </c>
      <c r="S54" s="14" t="s">
        <v>301</v>
      </c>
    </row>
    <row r="55" spans="1:19">
      <c r="A55" t="s">
        <v>302</v>
      </c>
      <c r="B55" t="s">
        <v>37</v>
      </c>
      <c r="C55" t="s">
        <v>303</v>
      </c>
      <c r="D55" t="s">
        <v>23</v>
      </c>
      <c r="E55" t="s">
        <v>51</v>
      </c>
      <c r="F55" t="s">
        <v>25</v>
      </c>
      <c r="G55" s="7">
        <v>39500</v>
      </c>
      <c r="H55" s="14" t="s">
        <v>729</v>
      </c>
      <c r="I55" s="14" t="s">
        <v>304</v>
      </c>
      <c r="J55" s="14" t="s">
        <v>305</v>
      </c>
      <c r="K55" s="14" t="s">
        <v>43</v>
      </c>
      <c r="L55" s="14" t="s">
        <v>44</v>
      </c>
      <c r="M55" s="14" t="s">
        <v>31</v>
      </c>
      <c r="N55" s="21">
        <v>3.5</v>
      </c>
      <c r="O55" s="14" t="s">
        <v>73</v>
      </c>
      <c r="P55" s="15">
        <v>17000</v>
      </c>
      <c r="Q55" s="14">
        <v>2021</v>
      </c>
      <c r="R55" s="16">
        <v>45474</v>
      </c>
      <c r="S55" s="14" t="s">
        <v>301</v>
      </c>
    </row>
    <row r="56" spans="1:19">
      <c r="A56" t="s">
        <v>306</v>
      </c>
      <c r="B56" t="s">
        <v>49</v>
      </c>
      <c r="C56" t="s">
        <v>307</v>
      </c>
      <c r="D56" t="s">
        <v>23</v>
      </c>
      <c r="E56" t="s">
        <v>51</v>
      </c>
      <c r="F56" t="s">
        <v>25</v>
      </c>
      <c r="G56" s="7">
        <v>36800</v>
      </c>
      <c r="H56" s="14" t="s">
        <v>729</v>
      </c>
      <c r="I56" s="14" t="s">
        <v>308</v>
      </c>
      <c r="J56" s="14" t="s">
        <v>309</v>
      </c>
      <c r="K56" s="14" t="s">
        <v>129</v>
      </c>
      <c r="L56" s="14" t="s">
        <v>81</v>
      </c>
      <c r="M56" s="14" t="s">
        <v>31</v>
      </c>
      <c r="N56" s="21">
        <v>3.5</v>
      </c>
      <c r="O56" s="14" t="s">
        <v>47</v>
      </c>
      <c r="P56" s="15">
        <v>19000</v>
      </c>
      <c r="Q56" s="14">
        <v>2021</v>
      </c>
      <c r="R56" s="16">
        <v>45474</v>
      </c>
      <c r="S56" s="14" t="s">
        <v>301</v>
      </c>
    </row>
    <row r="57" spans="1:19">
      <c r="A57" t="s">
        <v>310</v>
      </c>
      <c r="B57" t="s">
        <v>59</v>
      </c>
      <c r="C57" t="s">
        <v>311</v>
      </c>
      <c r="D57" t="s">
        <v>23</v>
      </c>
      <c r="E57" t="s">
        <v>24</v>
      </c>
      <c r="F57" t="s">
        <v>25</v>
      </c>
      <c r="G57" s="7">
        <v>18900</v>
      </c>
      <c r="H57" s="14" t="s">
        <v>26</v>
      </c>
      <c r="I57" s="14" t="s">
        <v>312</v>
      </c>
      <c r="J57" s="14" t="s">
        <v>313</v>
      </c>
      <c r="K57" s="14" t="s">
        <v>63</v>
      </c>
      <c r="L57" s="14" t="s">
        <v>44</v>
      </c>
      <c r="M57" s="14" t="s">
        <v>31</v>
      </c>
      <c r="N57" s="21">
        <v>1.6</v>
      </c>
      <c r="O57" s="14" t="s">
        <v>65</v>
      </c>
      <c r="P57" s="15">
        <v>14000</v>
      </c>
      <c r="Q57" s="14">
        <v>2022</v>
      </c>
      <c r="R57" s="16">
        <v>45474</v>
      </c>
      <c r="S57" s="14" t="s">
        <v>301</v>
      </c>
    </row>
    <row r="58" spans="1:19">
      <c r="A58" t="s">
        <v>314</v>
      </c>
      <c r="B58" t="s">
        <v>75</v>
      </c>
      <c r="C58" t="s">
        <v>315</v>
      </c>
      <c r="D58" t="s">
        <v>87</v>
      </c>
      <c r="E58" t="s">
        <v>88</v>
      </c>
      <c r="F58" t="s">
        <v>25</v>
      </c>
      <c r="G58" s="7">
        <v>43500</v>
      </c>
      <c r="H58" s="14" t="s">
        <v>731</v>
      </c>
      <c r="I58" s="14" t="s">
        <v>316</v>
      </c>
      <c r="J58" s="14" t="s">
        <v>317</v>
      </c>
      <c r="K58" s="14" t="s">
        <v>80</v>
      </c>
      <c r="L58" s="14" t="s">
        <v>81</v>
      </c>
      <c r="M58" s="14" t="s">
        <v>31</v>
      </c>
      <c r="N58" s="21">
        <v>3.6</v>
      </c>
      <c r="O58" s="14" t="s">
        <v>318</v>
      </c>
      <c r="P58" s="15">
        <v>11000</v>
      </c>
      <c r="Q58" s="14">
        <v>2023</v>
      </c>
      <c r="R58" s="16">
        <v>45474</v>
      </c>
      <c r="S58" s="14" t="s">
        <v>301</v>
      </c>
    </row>
    <row r="59" spans="1:19">
      <c r="A59" t="s">
        <v>319</v>
      </c>
      <c r="B59" t="s">
        <v>101</v>
      </c>
      <c r="C59" t="s">
        <v>320</v>
      </c>
      <c r="D59" t="s">
        <v>23</v>
      </c>
      <c r="E59" t="s">
        <v>51</v>
      </c>
      <c r="F59" t="s">
        <v>103</v>
      </c>
      <c r="G59" s="7">
        <v>89900</v>
      </c>
      <c r="H59" s="14" t="s">
        <v>732</v>
      </c>
      <c r="I59" s="14" t="s">
        <v>321</v>
      </c>
      <c r="J59" s="14" t="s">
        <v>322</v>
      </c>
      <c r="K59" s="14" t="s">
        <v>106</v>
      </c>
      <c r="L59" s="14" t="s">
        <v>30</v>
      </c>
      <c r="M59" s="14" t="s">
        <v>31</v>
      </c>
      <c r="N59" s="21">
        <v>3</v>
      </c>
      <c r="O59" s="14" t="s">
        <v>83</v>
      </c>
      <c r="P59" s="15">
        <v>26000</v>
      </c>
      <c r="Q59" s="14">
        <v>2020</v>
      </c>
      <c r="R59" s="16">
        <v>45474</v>
      </c>
      <c r="S59" s="14" t="s">
        <v>301</v>
      </c>
    </row>
    <row r="60" spans="1:19">
      <c r="A60" t="s">
        <v>323</v>
      </c>
      <c r="B60" t="s">
        <v>109</v>
      </c>
      <c r="C60" t="s">
        <v>324</v>
      </c>
      <c r="D60" t="s">
        <v>258</v>
      </c>
      <c r="E60" t="s">
        <v>325</v>
      </c>
      <c r="F60" t="s">
        <v>103</v>
      </c>
      <c r="G60" s="7">
        <v>129900</v>
      </c>
      <c r="H60" s="14" t="s">
        <v>734</v>
      </c>
      <c r="I60" s="14" t="s">
        <v>326</v>
      </c>
      <c r="J60" s="14" t="s">
        <v>327</v>
      </c>
      <c r="K60" s="14" t="s">
        <v>114</v>
      </c>
      <c r="L60" s="14" t="s">
        <v>44</v>
      </c>
      <c r="M60" s="14" t="s">
        <v>115</v>
      </c>
      <c r="N60" s="17" t="s">
        <v>733</v>
      </c>
      <c r="O60" s="14" t="s">
        <v>65</v>
      </c>
      <c r="P60" s="15">
        <v>500</v>
      </c>
      <c r="Q60" s="14">
        <v>2024</v>
      </c>
      <c r="R60" s="16">
        <v>45474</v>
      </c>
      <c r="S60" s="14" t="s">
        <v>301</v>
      </c>
    </row>
    <row r="61" spans="1:19">
      <c r="A61" t="s">
        <v>328</v>
      </c>
      <c r="B61" t="s">
        <v>21</v>
      </c>
      <c r="C61" t="s">
        <v>329</v>
      </c>
      <c r="D61" t="s">
        <v>68</v>
      </c>
      <c r="E61" t="s">
        <v>77</v>
      </c>
      <c r="F61" t="s">
        <v>25</v>
      </c>
      <c r="G61" s="7">
        <v>37800</v>
      </c>
      <c r="H61" s="14" t="s">
        <v>729</v>
      </c>
      <c r="I61" s="14" t="s">
        <v>330</v>
      </c>
      <c r="J61" s="14" t="s">
        <v>331</v>
      </c>
      <c r="K61" s="14" t="s">
        <v>29</v>
      </c>
      <c r="L61" s="14" t="s">
        <v>30</v>
      </c>
      <c r="M61" s="14" t="s">
        <v>31</v>
      </c>
      <c r="N61" s="21">
        <v>3.5</v>
      </c>
      <c r="O61" s="14" t="s">
        <v>56</v>
      </c>
      <c r="P61" s="15">
        <v>20000</v>
      </c>
      <c r="Q61" s="14">
        <v>2021</v>
      </c>
      <c r="R61" s="16">
        <v>45474</v>
      </c>
      <c r="S61" s="14" t="s">
        <v>301</v>
      </c>
    </row>
    <row r="62" spans="1:19">
      <c r="A62" t="s">
        <v>332</v>
      </c>
      <c r="B62" t="s">
        <v>37</v>
      </c>
      <c r="C62" t="s">
        <v>333</v>
      </c>
      <c r="D62" t="s">
        <v>68</v>
      </c>
      <c r="E62" t="s">
        <v>77</v>
      </c>
      <c r="F62" t="s">
        <v>25</v>
      </c>
      <c r="G62" s="7">
        <v>56900</v>
      </c>
      <c r="H62" s="14" t="s">
        <v>731</v>
      </c>
      <c r="I62" s="14" t="s">
        <v>334</v>
      </c>
      <c r="J62" s="14" t="s">
        <v>335</v>
      </c>
      <c r="K62" s="14" t="s">
        <v>43</v>
      </c>
      <c r="L62" s="14" t="s">
        <v>44</v>
      </c>
      <c r="M62" s="14" t="s">
        <v>31</v>
      </c>
      <c r="N62" s="21">
        <v>5.7</v>
      </c>
      <c r="O62" s="14" t="s">
        <v>73</v>
      </c>
      <c r="P62" s="15">
        <v>28000</v>
      </c>
      <c r="Q62" s="14">
        <v>2019</v>
      </c>
      <c r="R62" s="16">
        <v>45474</v>
      </c>
      <c r="S62" s="14" t="s">
        <v>301</v>
      </c>
    </row>
    <row r="63" spans="1:19">
      <c r="A63" t="s">
        <v>337</v>
      </c>
      <c r="B63" t="s">
        <v>49</v>
      </c>
      <c r="C63" t="s">
        <v>338</v>
      </c>
      <c r="D63" t="s">
        <v>68</v>
      </c>
      <c r="E63" t="s">
        <v>77</v>
      </c>
      <c r="F63" t="s">
        <v>25</v>
      </c>
      <c r="G63" s="7">
        <v>51200</v>
      </c>
      <c r="H63" s="14" t="s">
        <v>731</v>
      </c>
      <c r="I63" s="14" t="s">
        <v>339</v>
      </c>
      <c r="J63" s="14" t="s">
        <v>340</v>
      </c>
      <c r="K63" s="14" t="s">
        <v>129</v>
      </c>
      <c r="L63" s="14" t="s">
        <v>81</v>
      </c>
      <c r="M63" s="14" t="s">
        <v>31</v>
      </c>
      <c r="N63" s="21">
        <v>5.6</v>
      </c>
      <c r="O63" s="14" t="s">
        <v>33</v>
      </c>
      <c r="P63" s="15">
        <v>30000</v>
      </c>
      <c r="Q63" s="14">
        <v>2020</v>
      </c>
      <c r="R63" s="16">
        <v>45474</v>
      </c>
      <c r="S63" s="14" t="s">
        <v>301</v>
      </c>
    </row>
    <row r="64" spans="1:19">
      <c r="A64" t="s">
        <v>341</v>
      </c>
      <c r="B64" t="s">
        <v>59</v>
      </c>
      <c r="C64" t="s">
        <v>342</v>
      </c>
      <c r="D64" t="s">
        <v>68</v>
      </c>
      <c r="E64" t="s">
        <v>77</v>
      </c>
      <c r="F64" t="s">
        <v>25</v>
      </c>
      <c r="G64" s="7">
        <v>47500</v>
      </c>
      <c r="H64" s="14" t="s">
        <v>731</v>
      </c>
      <c r="I64" s="14" t="s">
        <v>343</v>
      </c>
      <c r="J64" s="14" t="s">
        <v>344</v>
      </c>
      <c r="K64" s="14" t="s">
        <v>63</v>
      </c>
      <c r="L64" s="14" t="s">
        <v>44</v>
      </c>
      <c r="M64" s="14" t="s">
        <v>31</v>
      </c>
      <c r="N64" s="21">
        <v>3.8</v>
      </c>
      <c r="O64" s="14" t="s">
        <v>47</v>
      </c>
      <c r="P64" s="15">
        <v>16000</v>
      </c>
      <c r="Q64" s="14">
        <v>2022</v>
      </c>
      <c r="R64" s="16">
        <v>45474</v>
      </c>
      <c r="S64" s="14" t="s">
        <v>301</v>
      </c>
    </row>
    <row r="65" spans="1:19">
      <c r="A65" t="s">
        <v>346</v>
      </c>
      <c r="B65" t="s">
        <v>85</v>
      </c>
      <c r="C65" t="s">
        <v>347</v>
      </c>
      <c r="D65" t="s">
        <v>68</v>
      </c>
      <c r="E65" t="s">
        <v>77</v>
      </c>
      <c r="F65" t="s">
        <v>25</v>
      </c>
      <c r="G65" s="7">
        <v>38900</v>
      </c>
      <c r="H65" s="14" t="s">
        <v>729</v>
      </c>
      <c r="I65" s="14" t="s">
        <v>348</v>
      </c>
      <c r="J65" s="14" t="s">
        <v>349</v>
      </c>
      <c r="K65" s="14" t="s">
        <v>92</v>
      </c>
      <c r="L65" s="14" t="s">
        <v>93</v>
      </c>
      <c r="M65" s="14" t="s">
        <v>31</v>
      </c>
      <c r="N65" s="21">
        <v>2.2999999999999998</v>
      </c>
      <c r="O65" s="14" t="s">
        <v>177</v>
      </c>
      <c r="P65" s="15">
        <v>9000</v>
      </c>
      <c r="Q65" s="14">
        <v>2023</v>
      </c>
      <c r="R65" s="16">
        <v>45474</v>
      </c>
      <c r="S65" s="14" t="s">
        <v>301</v>
      </c>
    </row>
    <row r="66" spans="1:19">
      <c r="A66" t="s">
        <v>350</v>
      </c>
      <c r="B66" t="s">
        <v>96</v>
      </c>
      <c r="C66" t="s">
        <v>351</v>
      </c>
      <c r="D66" t="s">
        <v>68</v>
      </c>
      <c r="E66" t="s">
        <v>77</v>
      </c>
      <c r="F66" t="s">
        <v>25</v>
      </c>
      <c r="G66" s="7">
        <v>58900</v>
      </c>
      <c r="H66" s="14" t="s">
        <v>731</v>
      </c>
      <c r="I66" s="14" t="s">
        <v>352</v>
      </c>
      <c r="J66" s="14" t="s">
        <v>353</v>
      </c>
      <c r="K66" s="14" t="s">
        <v>99</v>
      </c>
      <c r="L66" s="14" t="s">
        <v>93</v>
      </c>
      <c r="M66" s="14" t="s">
        <v>31</v>
      </c>
      <c r="N66" s="21">
        <v>5.3</v>
      </c>
      <c r="O66" s="14" t="s">
        <v>83</v>
      </c>
      <c r="P66" s="15">
        <v>25000</v>
      </c>
      <c r="Q66" s="14">
        <v>2020</v>
      </c>
      <c r="R66" s="16">
        <v>45474</v>
      </c>
      <c r="S66" s="14" t="s">
        <v>301</v>
      </c>
    </row>
    <row r="67" spans="1:19">
      <c r="A67" t="s">
        <v>355</v>
      </c>
      <c r="B67" t="s">
        <v>101</v>
      </c>
      <c r="C67" t="s">
        <v>356</v>
      </c>
      <c r="D67" t="s">
        <v>258</v>
      </c>
      <c r="E67" t="s">
        <v>266</v>
      </c>
      <c r="F67" t="s">
        <v>103</v>
      </c>
      <c r="G67" s="7">
        <v>99900</v>
      </c>
      <c r="H67" s="14" t="s">
        <v>734</v>
      </c>
      <c r="I67" s="14" t="s">
        <v>357</v>
      </c>
      <c r="J67" s="14" t="s">
        <v>358</v>
      </c>
      <c r="K67" s="14" t="s">
        <v>106</v>
      </c>
      <c r="L67" s="14" t="s">
        <v>30</v>
      </c>
      <c r="M67" s="14" t="s">
        <v>31</v>
      </c>
      <c r="N67" s="21">
        <v>3</v>
      </c>
      <c r="O67" s="14" t="s">
        <v>33</v>
      </c>
      <c r="P67" s="15">
        <v>18000</v>
      </c>
      <c r="Q67" s="14">
        <v>2022</v>
      </c>
      <c r="R67" s="16">
        <v>45474</v>
      </c>
      <c r="S67" s="14" t="s">
        <v>301</v>
      </c>
    </row>
    <row r="68" spans="1:19">
      <c r="A68" t="s">
        <v>359</v>
      </c>
      <c r="B68" t="s">
        <v>21</v>
      </c>
      <c r="C68" t="s">
        <v>360</v>
      </c>
      <c r="D68" t="s">
        <v>361</v>
      </c>
      <c r="E68" t="s">
        <v>362</v>
      </c>
      <c r="F68" t="s">
        <v>25</v>
      </c>
      <c r="G68" s="7">
        <v>35800</v>
      </c>
      <c r="H68" s="14" t="s">
        <v>729</v>
      </c>
      <c r="I68" s="14" t="s">
        <v>363</v>
      </c>
      <c r="J68" s="14" t="s">
        <v>364</v>
      </c>
      <c r="K68" s="14" t="s">
        <v>29</v>
      </c>
      <c r="L68" s="14" t="s">
        <v>30</v>
      </c>
      <c r="M68" s="14" t="s">
        <v>31</v>
      </c>
      <c r="N68" s="21">
        <v>3.5</v>
      </c>
      <c r="O68" s="14" t="s">
        <v>56</v>
      </c>
      <c r="P68" s="15">
        <v>22000</v>
      </c>
      <c r="Q68" s="14">
        <v>2021</v>
      </c>
      <c r="R68" s="16">
        <v>45505</v>
      </c>
      <c r="S68" s="14" t="s">
        <v>301</v>
      </c>
    </row>
    <row r="69" spans="1:19">
      <c r="A69" t="s">
        <v>366</v>
      </c>
      <c r="B69" t="s">
        <v>37</v>
      </c>
      <c r="C69" t="s">
        <v>367</v>
      </c>
      <c r="D69" t="s">
        <v>361</v>
      </c>
      <c r="E69" t="s">
        <v>362</v>
      </c>
      <c r="F69" t="s">
        <v>25</v>
      </c>
      <c r="G69" s="7">
        <v>39500</v>
      </c>
      <c r="H69" s="14" t="s">
        <v>729</v>
      </c>
      <c r="I69" s="14" t="s">
        <v>368</v>
      </c>
      <c r="J69" s="14" t="s">
        <v>369</v>
      </c>
      <c r="K69" s="14" t="s">
        <v>43</v>
      </c>
      <c r="L69" s="14" t="s">
        <v>44</v>
      </c>
      <c r="M69" s="14" t="s">
        <v>125</v>
      </c>
      <c r="N69" s="21">
        <v>2.5</v>
      </c>
      <c r="O69" s="14" t="s">
        <v>47</v>
      </c>
      <c r="P69" s="15">
        <v>15000</v>
      </c>
      <c r="Q69" s="14">
        <v>2022</v>
      </c>
      <c r="R69" s="16">
        <v>45505</v>
      </c>
      <c r="S69" s="14" t="s">
        <v>301</v>
      </c>
    </row>
    <row r="70" spans="1:19">
      <c r="A70" t="s">
        <v>370</v>
      </c>
      <c r="B70" t="s">
        <v>49</v>
      </c>
      <c r="C70" t="s">
        <v>371</v>
      </c>
      <c r="D70" t="s">
        <v>361</v>
      </c>
      <c r="E70" t="s">
        <v>362</v>
      </c>
      <c r="F70" t="s">
        <v>25</v>
      </c>
      <c r="G70" s="7">
        <v>32900</v>
      </c>
      <c r="H70" s="14" t="s">
        <v>729</v>
      </c>
      <c r="I70" s="14" t="s">
        <v>372</v>
      </c>
      <c r="J70" s="14" t="s">
        <v>373</v>
      </c>
      <c r="K70" s="14" t="s">
        <v>129</v>
      </c>
      <c r="L70" s="14" t="s">
        <v>81</v>
      </c>
      <c r="M70" s="14" t="s">
        <v>31</v>
      </c>
      <c r="N70" s="21">
        <v>3.5</v>
      </c>
      <c r="O70" s="14" t="s">
        <v>73</v>
      </c>
      <c r="P70" s="15">
        <v>24000</v>
      </c>
      <c r="Q70" s="14">
        <v>2020</v>
      </c>
      <c r="R70" s="16">
        <v>45505</v>
      </c>
      <c r="S70" s="14" t="s">
        <v>301</v>
      </c>
    </row>
    <row r="71" spans="1:19">
      <c r="A71" t="s">
        <v>374</v>
      </c>
      <c r="B71" t="s">
        <v>59</v>
      </c>
      <c r="C71" t="s">
        <v>375</v>
      </c>
      <c r="D71" t="s">
        <v>361</v>
      </c>
      <c r="E71" t="s">
        <v>362</v>
      </c>
      <c r="F71" t="s">
        <v>25</v>
      </c>
      <c r="G71" s="7">
        <v>28900</v>
      </c>
      <c r="H71" s="14" t="s">
        <v>729</v>
      </c>
      <c r="I71" s="14" t="s">
        <v>376</v>
      </c>
      <c r="J71" s="14" t="s">
        <v>377</v>
      </c>
      <c r="K71" s="14" t="s">
        <v>63</v>
      </c>
      <c r="L71" s="14" t="s">
        <v>44</v>
      </c>
      <c r="M71" s="14" t="s">
        <v>31</v>
      </c>
      <c r="N71" s="21">
        <v>3.8</v>
      </c>
      <c r="O71" s="14" t="s">
        <v>33</v>
      </c>
      <c r="P71" s="15">
        <v>27000</v>
      </c>
      <c r="Q71" s="14">
        <v>2019</v>
      </c>
      <c r="R71" s="16">
        <v>45505</v>
      </c>
      <c r="S71" s="14" t="s">
        <v>301</v>
      </c>
    </row>
    <row r="72" spans="1:19">
      <c r="A72" t="s">
        <v>378</v>
      </c>
      <c r="B72" t="s">
        <v>85</v>
      </c>
      <c r="C72" t="s">
        <v>379</v>
      </c>
      <c r="D72" t="s">
        <v>361</v>
      </c>
      <c r="E72" t="s">
        <v>362</v>
      </c>
      <c r="F72" t="s">
        <v>25</v>
      </c>
      <c r="G72" s="7">
        <v>28901</v>
      </c>
      <c r="H72" s="14" t="s">
        <v>729</v>
      </c>
      <c r="I72" s="14" t="s">
        <v>376</v>
      </c>
      <c r="J72" s="14" t="s">
        <v>377</v>
      </c>
      <c r="K72" s="14" t="s">
        <v>63</v>
      </c>
      <c r="L72" s="14" t="s">
        <v>44</v>
      </c>
      <c r="M72" s="14" t="s">
        <v>31</v>
      </c>
      <c r="N72" s="21">
        <v>3.8</v>
      </c>
      <c r="O72" s="14" t="s">
        <v>33</v>
      </c>
      <c r="P72" s="15">
        <v>27000</v>
      </c>
      <c r="Q72" s="14">
        <v>2019</v>
      </c>
      <c r="R72" s="16">
        <v>45505</v>
      </c>
      <c r="S72" s="14" t="s">
        <v>301</v>
      </c>
    </row>
    <row r="73" spans="1:19">
      <c r="A73" t="s">
        <v>380</v>
      </c>
      <c r="B73" t="s">
        <v>96</v>
      </c>
      <c r="C73" t="s">
        <v>381</v>
      </c>
      <c r="D73" t="s">
        <v>361</v>
      </c>
      <c r="E73" t="s">
        <v>362</v>
      </c>
      <c r="F73" t="s">
        <v>25</v>
      </c>
      <c r="G73" s="7">
        <v>33500</v>
      </c>
      <c r="H73" s="14" t="s">
        <v>729</v>
      </c>
      <c r="I73" s="14" t="s">
        <v>382</v>
      </c>
      <c r="J73" s="14" t="s">
        <v>383</v>
      </c>
      <c r="K73" s="14" t="s">
        <v>99</v>
      </c>
      <c r="L73" s="14" t="s">
        <v>93</v>
      </c>
      <c r="M73" s="14" t="s">
        <v>31</v>
      </c>
      <c r="N73" s="21">
        <v>4.3</v>
      </c>
      <c r="O73" s="14" t="s">
        <v>83</v>
      </c>
      <c r="P73" s="15">
        <v>21000</v>
      </c>
      <c r="Q73" s="14">
        <v>2021</v>
      </c>
      <c r="R73" s="16">
        <v>45505</v>
      </c>
      <c r="S73" s="14" t="s">
        <v>301</v>
      </c>
    </row>
    <row r="74" spans="1:19">
      <c r="A74" t="s">
        <v>384</v>
      </c>
      <c r="B74" t="s">
        <v>109</v>
      </c>
      <c r="C74" t="s">
        <v>385</v>
      </c>
      <c r="D74" t="s">
        <v>87</v>
      </c>
      <c r="E74" t="s">
        <v>88</v>
      </c>
      <c r="F74" t="s">
        <v>103</v>
      </c>
      <c r="G74" s="7">
        <v>179900</v>
      </c>
      <c r="H74" s="14" t="s">
        <v>386</v>
      </c>
      <c r="I74" s="14" t="s">
        <v>387</v>
      </c>
      <c r="J74" s="14" t="s">
        <v>388</v>
      </c>
      <c r="K74" s="14" t="s">
        <v>114</v>
      </c>
      <c r="L74" s="14" t="s">
        <v>44</v>
      </c>
      <c r="M74" s="14" t="s">
        <v>115</v>
      </c>
      <c r="N74" s="17" t="s">
        <v>733</v>
      </c>
      <c r="O74" s="14" t="s">
        <v>56</v>
      </c>
      <c r="P74" s="15">
        <v>2000</v>
      </c>
      <c r="Q74" s="14">
        <v>2024</v>
      </c>
      <c r="R74" s="16">
        <v>45505</v>
      </c>
      <c r="S74" s="14" t="s">
        <v>301</v>
      </c>
    </row>
    <row r="75" spans="1:19">
      <c r="A75" t="s">
        <v>389</v>
      </c>
      <c r="B75" t="s">
        <v>21</v>
      </c>
      <c r="C75" t="s">
        <v>390</v>
      </c>
      <c r="D75" t="s">
        <v>68</v>
      </c>
      <c r="E75" t="s">
        <v>77</v>
      </c>
      <c r="F75" t="s">
        <v>25</v>
      </c>
      <c r="G75" s="7">
        <v>24900</v>
      </c>
      <c r="H75" s="14" t="s">
        <v>26</v>
      </c>
      <c r="I75" s="14" t="s">
        <v>391</v>
      </c>
      <c r="J75" s="14" t="s">
        <v>392</v>
      </c>
      <c r="K75" s="14" t="s">
        <v>29</v>
      </c>
      <c r="L75" s="14" t="s">
        <v>30</v>
      </c>
      <c r="M75" s="14" t="s">
        <v>31</v>
      </c>
      <c r="N75" s="21">
        <v>2.4</v>
      </c>
      <c r="O75" s="14" t="s">
        <v>318</v>
      </c>
      <c r="P75" s="15">
        <v>35000</v>
      </c>
      <c r="Q75" s="14">
        <v>2018</v>
      </c>
      <c r="R75" s="16">
        <v>45505</v>
      </c>
      <c r="S75" s="14" t="s">
        <v>301</v>
      </c>
    </row>
    <row r="76" spans="1:19">
      <c r="A76" t="s">
        <v>393</v>
      </c>
      <c r="B76" t="s">
        <v>37</v>
      </c>
      <c r="C76" t="s">
        <v>394</v>
      </c>
      <c r="D76" t="s">
        <v>68</v>
      </c>
      <c r="E76" t="s">
        <v>77</v>
      </c>
      <c r="F76" t="s">
        <v>25</v>
      </c>
      <c r="G76" s="7">
        <v>31500</v>
      </c>
      <c r="H76" s="14" t="s">
        <v>729</v>
      </c>
      <c r="I76" s="14" t="s">
        <v>395</v>
      </c>
      <c r="J76" s="14" t="s">
        <v>396</v>
      </c>
      <c r="K76" s="14" t="s">
        <v>43</v>
      </c>
      <c r="L76" s="14" t="s">
        <v>44</v>
      </c>
      <c r="M76" s="14" t="s">
        <v>31</v>
      </c>
      <c r="N76" s="21">
        <v>4</v>
      </c>
      <c r="O76" s="14" t="s">
        <v>398</v>
      </c>
      <c r="P76" s="15">
        <v>40000</v>
      </c>
      <c r="Q76" s="14">
        <v>2017</v>
      </c>
      <c r="R76" s="16">
        <v>45505</v>
      </c>
      <c r="S76" s="14" t="s">
        <v>301</v>
      </c>
    </row>
    <row r="77" spans="1:19">
      <c r="A77" t="s">
        <v>399</v>
      </c>
      <c r="B77" t="s">
        <v>49</v>
      </c>
      <c r="C77" t="s">
        <v>400</v>
      </c>
      <c r="D77" t="s">
        <v>68</v>
      </c>
      <c r="E77" t="s">
        <v>77</v>
      </c>
      <c r="F77" t="s">
        <v>25</v>
      </c>
      <c r="G77" s="7">
        <v>26900</v>
      </c>
      <c r="H77" s="14" t="s">
        <v>729</v>
      </c>
      <c r="I77" s="14" t="s">
        <v>401</v>
      </c>
      <c r="J77" s="14" t="s">
        <v>402</v>
      </c>
      <c r="K77" s="14" t="s">
        <v>129</v>
      </c>
      <c r="L77" s="14" t="s">
        <v>81</v>
      </c>
      <c r="M77" s="14" t="s">
        <v>31</v>
      </c>
      <c r="N77" s="21">
        <v>4</v>
      </c>
      <c r="O77" s="14" t="s">
        <v>65</v>
      </c>
      <c r="P77" s="15">
        <v>38000</v>
      </c>
      <c r="Q77" s="14">
        <v>2018</v>
      </c>
      <c r="R77" s="16">
        <v>45505</v>
      </c>
      <c r="S77" s="14" t="s">
        <v>301</v>
      </c>
    </row>
    <row r="78" spans="1:19">
      <c r="A78" t="s">
        <v>403</v>
      </c>
      <c r="B78" t="s">
        <v>59</v>
      </c>
      <c r="C78" t="s">
        <v>404</v>
      </c>
      <c r="D78" t="s">
        <v>68</v>
      </c>
      <c r="E78" t="s">
        <v>77</v>
      </c>
      <c r="F78" t="s">
        <v>25</v>
      </c>
      <c r="G78" s="7">
        <v>23500</v>
      </c>
      <c r="H78" s="14" t="s">
        <v>26</v>
      </c>
      <c r="I78" s="14" t="s">
        <v>405</v>
      </c>
      <c r="J78" s="14" t="s">
        <v>406</v>
      </c>
      <c r="K78" s="14" t="s">
        <v>63</v>
      </c>
      <c r="L78" s="14" t="s">
        <v>44</v>
      </c>
      <c r="M78" s="14" t="s">
        <v>31</v>
      </c>
      <c r="N78" s="21">
        <v>3.8</v>
      </c>
      <c r="O78" s="14" t="s">
        <v>73</v>
      </c>
      <c r="P78" s="15">
        <v>42000</v>
      </c>
      <c r="Q78" s="14">
        <v>2017</v>
      </c>
      <c r="R78" s="16">
        <v>45505</v>
      </c>
      <c r="S78" s="14" t="s">
        <v>301</v>
      </c>
    </row>
    <row r="79" spans="1:19">
      <c r="A79" t="s">
        <v>407</v>
      </c>
      <c r="B79" t="s">
        <v>75</v>
      </c>
      <c r="C79" t="s">
        <v>408</v>
      </c>
      <c r="D79" t="s">
        <v>68</v>
      </c>
      <c r="E79" t="s">
        <v>77</v>
      </c>
      <c r="F79" t="s">
        <v>25</v>
      </c>
      <c r="G79" s="7">
        <v>22900</v>
      </c>
      <c r="H79" s="14" t="s">
        <v>26</v>
      </c>
      <c r="I79" s="14" t="s">
        <v>409</v>
      </c>
      <c r="J79" s="14" t="s">
        <v>410</v>
      </c>
      <c r="K79" s="14" t="s">
        <v>80</v>
      </c>
      <c r="L79" s="14" t="s">
        <v>81</v>
      </c>
      <c r="M79" s="14" t="s">
        <v>31</v>
      </c>
      <c r="N79" s="21">
        <v>3.7</v>
      </c>
      <c r="O79" s="14" t="s">
        <v>56</v>
      </c>
      <c r="P79" s="15">
        <v>45000</v>
      </c>
      <c r="Q79" s="14">
        <v>2016</v>
      </c>
      <c r="R79" s="16">
        <v>45505</v>
      </c>
      <c r="S79" s="14" t="s">
        <v>301</v>
      </c>
    </row>
    <row r="80" spans="1:19">
      <c r="A80" t="s">
        <v>412</v>
      </c>
      <c r="B80" t="s">
        <v>85</v>
      </c>
      <c r="C80" t="s">
        <v>413</v>
      </c>
      <c r="D80" t="s">
        <v>68</v>
      </c>
      <c r="E80" t="s">
        <v>77</v>
      </c>
      <c r="F80" t="s">
        <v>25</v>
      </c>
      <c r="G80" s="7">
        <v>28900</v>
      </c>
      <c r="H80" s="14" t="s">
        <v>729</v>
      </c>
      <c r="I80" s="14" t="s">
        <v>414</v>
      </c>
      <c r="J80" s="14" t="s">
        <v>415</v>
      </c>
      <c r="K80" s="14" t="s">
        <v>92</v>
      </c>
      <c r="L80" s="14" t="s">
        <v>93</v>
      </c>
      <c r="M80" s="14" t="s">
        <v>31</v>
      </c>
      <c r="N80" s="21">
        <v>5.4</v>
      </c>
      <c r="O80" s="14" t="s">
        <v>33</v>
      </c>
      <c r="P80" s="15">
        <v>48000</v>
      </c>
      <c r="Q80" s="14">
        <v>2016</v>
      </c>
      <c r="R80" s="16">
        <v>45505</v>
      </c>
      <c r="S80" s="14" t="s">
        <v>301</v>
      </c>
    </row>
    <row r="81" spans="1:19">
      <c r="A81" t="s">
        <v>417</v>
      </c>
      <c r="B81" t="s">
        <v>96</v>
      </c>
      <c r="C81" t="s">
        <v>418</v>
      </c>
      <c r="D81" t="s">
        <v>68</v>
      </c>
      <c r="E81" t="s">
        <v>77</v>
      </c>
      <c r="F81" t="s">
        <v>25</v>
      </c>
      <c r="G81" s="7">
        <v>62900</v>
      </c>
      <c r="H81" s="14" t="s">
        <v>732</v>
      </c>
      <c r="I81" s="14" t="s">
        <v>419</v>
      </c>
      <c r="J81" s="14" t="s">
        <v>420</v>
      </c>
      <c r="K81" s="14" t="s">
        <v>99</v>
      </c>
      <c r="L81" s="14" t="s">
        <v>93</v>
      </c>
      <c r="M81" s="14" t="s">
        <v>31</v>
      </c>
      <c r="N81" s="21">
        <v>5.3</v>
      </c>
      <c r="O81" s="14" t="s">
        <v>47</v>
      </c>
      <c r="P81" s="15">
        <v>23000</v>
      </c>
      <c r="Q81" s="14">
        <v>2021</v>
      </c>
      <c r="R81" s="16">
        <v>45505</v>
      </c>
      <c r="S81" s="14" t="s">
        <v>301</v>
      </c>
    </row>
    <row r="82" spans="1:19">
      <c r="A82" t="s">
        <v>421</v>
      </c>
      <c r="B82" t="s">
        <v>101</v>
      </c>
      <c r="C82" t="s">
        <v>422</v>
      </c>
      <c r="D82" t="s">
        <v>23</v>
      </c>
      <c r="E82" t="s">
        <v>51</v>
      </c>
      <c r="F82" t="s">
        <v>103</v>
      </c>
      <c r="G82" s="7">
        <v>39900</v>
      </c>
      <c r="H82" s="14" t="s">
        <v>729</v>
      </c>
      <c r="I82" s="14" t="s">
        <v>423</v>
      </c>
      <c r="J82" s="14" t="s">
        <v>424</v>
      </c>
      <c r="K82" s="14" t="s">
        <v>106</v>
      </c>
      <c r="L82" s="14" t="s">
        <v>30</v>
      </c>
      <c r="M82" s="14" t="s">
        <v>115</v>
      </c>
      <c r="N82" s="17" t="s">
        <v>733</v>
      </c>
      <c r="O82" s="14" t="s">
        <v>83</v>
      </c>
      <c r="P82" s="15">
        <v>16000</v>
      </c>
      <c r="Q82" s="14">
        <v>2022</v>
      </c>
      <c r="R82" s="16">
        <v>45505</v>
      </c>
      <c r="S82" s="14" t="s">
        <v>301</v>
      </c>
    </row>
    <row r="83" spans="1:19">
      <c r="A83" t="s">
        <v>425</v>
      </c>
      <c r="B83" t="s">
        <v>21</v>
      </c>
      <c r="C83" t="s">
        <v>426</v>
      </c>
      <c r="D83" t="s">
        <v>68</v>
      </c>
      <c r="E83" t="s">
        <v>77</v>
      </c>
      <c r="F83" t="s">
        <v>25</v>
      </c>
      <c r="G83" s="7">
        <v>27900</v>
      </c>
      <c r="H83" s="14" t="s">
        <v>729</v>
      </c>
      <c r="I83" s="14" t="s">
        <v>427</v>
      </c>
      <c r="J83" s="14" t="s">
        <v>428</v>
      </c>
      <c r="K83" s="14" t="s">
        <v>29</v>
      </c>
      <c r="L83" s="14" t="s">
        <v>30</v>
      </c>
      <c r="M83" s="14" t="s">
        <v>31</v>
      </c>
      <c r="N83" s="21">
        <v>3.5</v>
      </c>
      <c r="O83" s="14" t="s">
        <v>73</v>
      </c>
      <c r="P83" s="15">
        <v>29000</v>
      </c>
      <c r="Q83" s="14">
        <v>2019</v>
      </c>
      <c r="R83" s="16">
        <v>45505</v>
      </c>
      <c r="S83" s="14" t="s">
        <v>301</v>
      </c>
    </row>
    <row r="84" spans="1:19">
      <c r="A84" t="s">
        <v>429</v>
      </c>
      <c r="B84" t="s">
        <v>37</v>
      </c>
      <c r="C84" t="s">
        <v>430</v>
      </c>
      <c r="D84" t="s">
        <v>68</v>
      </c>
      <c r="E84" t="s">
        <v>77</v>
      </c>
      <c r="F84" t="s">
        <v>25</v>
      </c>
      <c r="G84" s="7">
        <v>35800</v>
      </c>
      <c r="H84" s="14" t="s">
        <v>729</v>
      </c>
      <c r="I84" s="14" t="s">
        <v>431</v>
      </c>
      <c r="J84" s="14" t="s">
        <v>432</v>
      </c>
      <c r="K84" s="14" t="s">
        <v>43</v>
      </c>
      <c r="L84" s="14" t="s">
        <v>44</v>
      </c>
      <c r="M84" s="14" t="s">
        <v>31</v>
      </c>
      <c r="N84" s="21">
        <v>2.7</v>
      </c>
      <c r="O84" s="14" t="s">
        <v>56</v>
      </c>
      <c r="P84" s="15">
        <v>24000</v>
      </c>
      <c r="Q84" s="14">
        <v>2020</v>
      </c>
      <c r="R84" s="16">
        <v>45536</v>
      </c>
      <c r="S84" s="14" t="s">
        <v>301</v>
      </c>
    </row>
    <row r="85" spans="1:19">
      <c r="A85" t="s">
        <v>434</v>
      </c>
      <c r="B85" t="s">
        <v>49</v>
      </c>
      <c r="C85" t="s">
        <v>435</v>
      </c>
      <c r="D85" t="s">
        <v>68</v>
      </c>
      <c r="E85" t="s">
        <v>77</v>
      </c>
      <c r="F85" t="s">
        <v>25</v>
      </c>
      <c r="G85" s="7">
        <v>38500</v>
      </c>
      <c r="H85" s="14" t="s">
        <v>729</v>
      </c>
      <c r="I85" s="14" t="s">
        <v>436</v>
      </c>
      <c r="J85" s="14" t="s">
        <v>437</v>
      </c>
      <c r="K85" s="14" t="s">
        <v>129</v>
      </c>
      <c r="L85" s="14" t="s">
        <v>81</v>
      </c>
      <c r="M85" s="14" t="s">
        <v>31</v>
      </c>
      <c r="N85" s="21">
        <v>3.5</v>
      </c>
      <c r="O85" s="14" t="s">
        <v>65</v>
      </c>
      <c r="P85" s="15">
        <v>26000</v>
      </c>
      <c r="Q85" s="14">
        <v>2020</v>
      </c>
      <c r="R85" s="16">
        <v>45536</v>
      </c>
      <c r="S85" s="14" t="s">
        <v>301</v>
      </c>
    </row>
    <row r="86" spans="1:19">
      <c r="A86" t="s">
        <v>438</v>
      </c>
      <c r="B86" t="s">
        <v>59</v>
      </c>
      <c r="C86" t="s">
        <v>439</v>
      </c>
      <c r="D86" t="s">
        <v>68</v>
      </c>
      <c r="E86" t="s">
        <v>77</v>
      </c>
      <c r="F86" t="s">
        <v>25</v>
      </c>
      <c r="G86" s="7">
        <v>29800</v>
      </c>
      <c r="H86" s="14" t="s">
        <v>729</v>
      </c>
      <c r="I86" s="14" t="s">
        <v>440</v>
      </c>
      <c r="J86" s="14" t="s">
        <v>441</v>
      </c>
      <c r="K86" s="14" t="s">
        <v>63</v>
      </c>
      <c r="L86" s="14" t="s">
        <v>44</v>
      </c>
      <c r="M86" s="14" t="s">
        <v>31</v>
      </c>
      <c r="N86" s="21">
        <v>2.4</v>
      </c>
      <c r="O86" s="14" t="s">
        <v>33</v>
      </c>
      <c r="P86" s="15">
        <v>31000</v>
      </c>
      <c r="Q86" s="14">
        <v>2019</v>
      </c>
      <c r="R86" s="16">
        <v>45536</v>
      </c>
      <c r="S86" s="14" t="s">
        <v>301</v>
      </c>
    </row>
    <row r="87" spans="1:19">
      <c r="A87" t="s">
        <v>442</v>
      </c>
      <c r="B87" t="s">
        <v>75</v>
      </c>
      <c r="C87" t="s">
        <v>443</v>
      </c>
      <c r="D87" t="s">
        <v>68</v>
      </c>
      <c r="E87" t="s">
        <v>77</v>
      </c>
      <c r="F87" t="s">
        <v>25</v>
      </c>
      <c r="G87" s="7">
        <v>21900</v>
      </c>
      <c r="H87" s="14" t="s">
        <v>26</v>
      </c>
      <c r="I87" s="14" t="s">
        <v>444</v>
      </c>
      <c r="J87" s="14" t="s">
        <v>445</v>
      </c>
      <c r="K87" s="14" t="s">
        <v>80</v>
      </c>
      <c r="L87" s="14" t="s">
        <v>81</v>
      </c>
      <c r="M87" s="14" t="s">
        <v>31</v>
      </c>
      <c r="N87" s="21">
        <v>2.4</v>
      </c>
      <c r="O87" s="14" t="s">
        <v>177</v>
      </c>
      <c r="P87" s="15">
        <v>34000</v>
      </c>
      <c r="Q87" s="14">
        <v>2018</v>
      </c>
      <c r="R87" s="16">
        <v>45536</v>
      </c>
      <c r="S87" s="14" t="s">
        <v>301</v>
      </c>
    </row>
    <row r="88" spans="1:19">
      <c r="A88" t="s">
        <v>446</v>
      </c>
      <c r="B88" t="s">
        <v>85</v>
      </c>
      <c r="C88" t="s">
        <v>447</v>
      </c>
      <c r="D88" t="s">
        <v>68</v>
      </c>
      <c r="E88" t="s">
        <v>77</v>
      </c>
      <c r="F88" t="s">
        <v>25</v>
      </c>
      <c r="G88" s="7">
        <v>32500</v>
      </c>
      <c r="H88" s="14" t="s">
        <v>729</v>
      </c>
      <c r="I88" s="14" t="s">
        <v>448</v>
      </c>
      <c r="J88" s="14" t="s">
        <v>449</v>
      </c>
      <c r="K88" s="14" t="s">
        <v>92</v>
      </c>
      <c r="L88" s="14" t="s">
        <v>93</v>
      </c>
      <c r="M88" s="14" t="s">
        <v>31</v>
      </c>
      <c r="N88" s="21">
        <v>2</v>
      </c>
      <c r="O88" s="14" t="s">
        <v>83</v>
      </c>
      <c r="P88" s="15">
        <v>27000</v>
      </c>
      <c r="Q88" s="14">
        <v>2020</v>
      </c>
      <c r="R88" s="16">
        <v>45536</v>
      </c>
      <c r="S88" s="14" t="s">
        <v>301</v>
      </c>
    </row>
    <row r="89" spans="1:19">
      <c r="A89" t="s">
        <v>450</v>
      </c>
      <c r="B89" t="s">
        <v>96</v>
      </c>
      <c r="C89" t="s">
        <v>451</v>
      </c>
      <c r="D89" t="s">
        <v>68</v>
      </c>
      <c r="E89" t="s">
        <v>77</v>
      </c>
      <c r="F89" t="s">
        <v>25</v>
      </c>
      <c r="G89" s="7">
        <v>35200</v>
      </c>
      <c r="H89" s="14" t="s">
        <v>729</v>
      </c>
      <c r="I89" s="14" t="s">
        <v>452</v>
      </c>
      <c r="J89" s="14" t="s">
        <v>453</v>
      </c>
      <c r="K89" s="14" t="s">
        <v>99</v>
      </c>
      <c r="L89" s="14" t="s">
        <v>93</v>
      </c>
      <c r="M89" s="14" t="s">
        <v>31</v>
      </c>
      <c r="N89" s="21">
        <v>2.5</v>
      </c>
      <c r="O89" s="14" t="s">
        <v>73</v>
      </c>
      <c r="P89" s="15">
        <v>25000</v>
      </c>
      <c r="Q89" s="14">
        <v>2020</v>
      </c>
      <c r="R89" s="16">
        <v>45536</v>
      </c>
      <c r="S89" s="14" t="s">
        <v>301</v>
      </c>
    </row>
    <row r="90" spans="1:19">
      <c r="A90" t="s">
        <v>454</v>
      </c>
      <c r="B90" t="s">
        <v>109</v>
      </c>
      <c r="C90" t="s">
        <v>455</v>
      </c>
      <c r="D90" t="s">
        <v>23</v>
      </c>
      <c r="E90" t="s">
        <v>51</v>
      </c>
      <c r="F90" t="s">
        <v>103</v>
      </c>
      <c r="G90" s="7">
        <v>74900</v>
      </c>
      <c r="H90" s="14" t="s">
        <v>732</v>
      </c>
      <c r="I90" s="14" t="s">
        <v>456</v>
      </c>
      <c r="J90" s="14" t="s">
        <v>457</v>
      </c>
      <c r="K90" s="14" t="s">
        <v>114</v>
      </c>
      <c r="L90" s="14" t="s">
        <v>44</v>
      </c>
      <c r="M90" s="14" t="s">
        <v>115</v>
      </c>
      <c r="N90" s="17" t="s">
        <v>733</v>
      </c>
      <c r="O90" s="14" t="s">
        <v>47</v>
      </c>
      <c r="P90" s="15">
        <v>3000</v>
      </c>
      <c r="Q90" s="14">
        <v>2024</v>
      </c>
      <c r="R90" s="16">
        <v>45536</v>
      </c>
      <c r="S90" s="14" t="s">
        <v>301</v>
      </c>
    </row>
    <row r="91" spans="1:19">
      <c r="A91" t="s">
        <v>458</v>
      </c>
      <c r="B91" t="s">
        <v>21</v>
      </c>
      <c r="C91" t="s">
        <v>459</v>
      </c>
      <c r="D91" t="s">
        <v>23</v>
      </c>
      <c r="E91" t="s">
        <v>24</v>
      </c>
      <c r="F91" t="s">
        <v>25</v>
      </c>
      <c r="G91" s="7">
        <v>19900</v>
      </c>
      <c r="H91" s="14" t="s">
        <v>26</v>
      </c>
      <c r="I91" s="14" t="s">
        <v>460</v>
      </c>
      <c r="J91" s="14" t="s">
        <v>461</v>
      </c>
      <c r="K91" s="14" t="s">
        <v>29</v>
      </c>
      <c r="L91" s="14" t="s">
        <v>30</v>
      </c>
      <c r="M91" s="14" t="s">
        <v>31</v>
      </c>
      <c r="N91" s="21">
        <v>1.5</v>
      </c>
      <c r="O91" s="14" t="s">
        <v>33</v>
      </c>
      <c r="P91" s="15">
        <v>21000</v>
      </c>
      <c r="Q91" s="14">
        <v>2021</v>
      </c>
      <c r="R91" s="16">
        <v>45536</v>
      </c>
      <c r="S91" s="14" t="s">
        <v>301</v>
      </c>
    </row>
    <row r="92" spans="1:19">
      <c r="A92" t="s">
        <v>462</v>
      </c>
      <c r="B92" t="s">
        <v>37</v>
      </c>
      <c r="C92" t="s">
        <v>463</v>
      </c>
      <c r="D92" t="s">
        <v>23</v>
      </c>
      <c r="E92" t="s">
        <v>24</v>
      </c>
      <c r="F92" t="s">
        <v>25</v>
      </c>
      <c r="G92" s="7">
        <v>18500</v>
      </c>
      <c r="H92" s="14" t="s">
        <v>26</v>
      </c>
      <c r="I92" s="14" t="s">
        <v>464</v>
      </c>
      <c r="J92" s="14" t="s">
        <v>465</v>
      </c>
      <c r="K92" s="14" t="s">
        <v>43</v>
      </c>
      <c r="L92" s="14" t="s">
        <v>44</v>
      </c>
      <c r="M92" s="14" t="s">
        <v>31</v>
      </c>
      <c r="N92" s="21">
        <v>1.5</v>
      </c>
      <c r="O92" s="14" t="s">
        <v>65</v>
      </c>
      <c r="P92" s="15">
        <v>18000</v>
      </c>
      <c r="Q92" s="14">
        <v>2022</v>
      </c>
      <c r="R92" s="16">
        <v>45536</v>
      </c>
      <c r="S92" s="14" t="s">
        <v>301</v>
      </c>
    </row>
    <row r="93" spans="1:19">
      <c r="A93" t="s">
        <v>466</v>
      </c>
      <c r="B93" t="s">
        <v>49</v>
      </c>
      <c r="C93" t="s">
        <v>467</v>
      </c>
      <c r="D93" t="s">
        <v>23</v>
      </c>
      <c r="E93" t="s">
        <v>24</v>
      </c>
      <c r="F93" t="s">
        <v>25</v>
      </c>
      <c r="G93" s="7">
        <v>17800</v>
      </c>
      <c r="H93" s="14" t="s">
        <v>26</v>
      </c>
      <c r="I93" s="14" t="s">
        <v>468</v>
      </c>
      <c r="J93" s="14" t="s">
        <v>469</v>
      </c>
      <c r="K93" s="14" t="s">
        <v>129</v>
      </c>
      <c r="L93" s="14" t="s">
        <v>81</v>
      </c>
      <c r="M93" s="14" t="s">
        <v>31</v>
      </c>
      <c r="N93" s="21">
        <v>1.6</v>
      </c>
      <c r="O93" s="14" t="s">
        <v>56</v>
      </c>
      <c r="P93" s="15">
        <v>16000</v>
      </c>
      <c r="Q93" s="14">
        <v>2022</v>
      </c>
      <c r="R93" s="16">
        <v>45536</v>
      </c>
      <c r="S93" s="14" t="s">
        <v>301</v>
      </c>
    </row>
    <row r="94" spans="1:19">
      <c r="A94" t="s">
        <v>470</v>
      </c>
      <c r="B94" t="s">
        <v>59</v>
      </c>
      <c r="C94" t="s">
        <v>471</v>
      </c>
      <c r="D94" t="s">
        <v>258</v>
      </c>
      <c r="E94" t="s">
        <v>24</v>
      </c>
      <c r="F94" t="s">
        <v>25</v>
      </c>
      <c r="G94" s="7">
        <v>23900</v>
      </c>
      <c r="H94" s="14" t="s">
        <v>26</v>
      </c>
      <c r="I94" s="14" t="s">
        <v>472</v>
      </c>
      <c r="J94" s="14" t="s">
        <v>473</v>
      </c>
      <c r="K94" s="14" t="s">
        <v>63</v>
      </c>
      <c r="L94" s="14" t="s">
        <v>44</v>
      </c>
      <c r="M94" s="14" t="s">
        <v>31</v>
      </c>
      <c r="N94" s="21">
        <v>1.6</v>
      </c>
      <c r="O94" s="14" t="s">
        <v>398</v>
      </c>
      <c r="P94" s="15">
        <v>14000</v>
      </c>
      <c r="Q94" s="14">
        <v>2022</v>
      </c>
      <c r="R94" s="16">
        <v>45536</v>
      </c>
      <c r="S94" s="14" t="s">
        <v>301</v>
      </c>
    </row>
    <row r="95" spans="1:19">
      <c r="A95" t="s">
        <v>474</v>
      </c>
      <c r="B95" t="s">
        <v>75</v>
      </c>
      <c r="C95" t="s">
        <v>475</v>
      </c>
      <c r="D95" t="s">
        <v>68</v>
      </c>
      <c r="E95" t="s">
        <v>77</v>
      </c>
      <c r="F95" t="s">
        <v>25</v>
      </c>
      <c r="G95" s="7">
        <v>26800</v>
      </c>
      <c r="H95" s="14" t="s">
        <v>729</v>
      </c>
      <c r="I95" s="14" t="s">
        <v>476</v>
      </c>
      <c r="J95" s="14" t="s">
        <v>477</v>
      </c>
      <c r="K95" s="14" t="s">
        <v>80</v>
      </c>
      <c r="L95" s="14" t="s">
        <v>81</v>
      </c>
      <c r="M95" s="14" t="s">
        <v>31</v>
      </c>
      <c r="N95" s="21">
        <v>1.4</v>
      </c>
      <c r="O95" s="14" t="s">
        <v>318</v>
      </c>
      <c r="P95" s="15">
        <v>17000</v>
      </c>
      <c r="Q95" s="14">
        <v>2022</v>
      </c>
      <c r="R95" s="16">
        <v>45536</v>
      </c>
      <c r="S95" s="14" t="s">
        <v>301</v>
      </c>
    </row>
    <row r="96" spans="1:19">
      <c r="A96" t="s">
        <v>478</v>
      </c>
      <c r="B96" t="s">
        <v>85</v>
      </c>
      <c r="C96" t="s">
        <v>479</v>
      </c>
      <c r="D96" t="s">
        <v>68</v>
      </c>
      <c r="E96" t="s">
        <v>77</v>
      </c>
      <c r="F96" t="s">
        <v>25</v>
      </c>
      <c r="G96" s="7">
        <v>22900</v>
      </c>
      <c r="H96" s="14" t="s">
        <v>26</v>
      </c>
      <c r="I96" s="14" t="s">
        <v>480</v>
      </c>
      <c r="J96" s="14" t="s">
        <v>481</v>
      </c>
      <c r="K96" s="14" t="s">
        <v>92</v>
      </c>
      <c r="L96" s="14" t="s">
        <v>93</v>
      </c>
      <c r="M96" s="14" t="s">
        <v>31</v>
      </c>
      <c r="N96" s="21">
        <v>1</v>
      </c>
      <c r="O96" s="14" t="s">
        <v>47</v>
      </c>
      <c r="P96" s="15">
        <v>19000</v>
      </c>
      <c r="Q96" s="14">
        <v>2021</v>
      </c>
      <c r="R96" s="16">
        <v>45536</v>
      </c>
      <c r="S96" s="14" t="s">
        <v>301</v>
      </c>
    </row>
    <row r="97" spans="1:19">
      <c r="A97" t="s">
        <v>483</v>
      </c>
      <c r="B97" t="s">
        <v>96</v>
      </c>
      <c r="C97" t="s">
        <v>484</v>
      </c>
      <c r="D97" t="s">
        <v>23</v>
      </c>
      <c r="E97" t="s">
        <v>24</v>
      </c>
      <c r="F97" t="s">
        <v>25</v>
      </c>
      <c r="G97" s="7">
        <v>16500</v>
      </c>
      <c r="H97" s="14" t="s">
        <v>26</v>
      </c>
      <c r="I97" s="14" t="s">
        <v>485</v>
      </c>
      <c r="J97" s="14" t="s">
        <v>486</v>
      </c>
      <c r="K97" s="14" t="s">
        <v>99</v>
      </c>
      <c r="L97" s="14" t="s">
        <v>93</v>
      </c>
      <c r="M97" s="14" t="s">
        <v>31</v>
      </c>
      <c r="N97" s="21">
        <v>1.4</v>
      </c>
      <c r="O97" s="14" t="s">
        <v>65</v>
      </c>
      <c r="P97" s="15">
        <v>15000</v>
      </c>
      <c r="Q97" s="14">
        <v>2022</v>
      </c>
      <c r="R97" s="16">
        <v>45536</v>
      </c>
      <c r="S97" s="14" t="s">
        <v>301</v>
      </c>
    </row>
    <row r="98" spans="1:19">
      <c r="A98" t="s">
        <v>487</v>
      </c>
      <c r="B98" t="s">
        <v>101</v>
      </c>
      <c r="C98" t="s">
        <v>488</v>
      </c>
      <c r="D98" t="s">
        <v>258</v>
      </c>
      <c r="E98" t="s">
        <v>489</v>
      </c>
      <c r="F98" t="s">
        <v>103</v>
      </c>
      <c r="G98" s="7">
        <v>149900</v>
      </c>
      <c r="H98" s="14" t="s">
        <v>386</v>
      </c>
      <c r="I98" s="14" t="s">
        <v>490</v>
      </c>
      <c r="J98" s="14" t="s">
        <v>491</v>
      </c>
      <c r="K98" s="14" t="s">
        <v>106</v>
      </c>
      <c r="L98" s="14" t="s">
        <v>30</v>
      </c>
      <c r="M98" s="14" t="s">
        <v>125</v>
      </c>
      <c r="N98" s="21">
        <v>1.5</v>
      </c>
      <c r="O98" s="14" t="s">
        <v>33</v>
      </c>
      <c r="P98" s="15">
        <v>8000</v>
      </c>
      <c r="Q98" s="14">
        <v>2023</v>
      </c>
      <c r="R98" s="16">
        <v>45536</v>
      </c>
      <c r="S98" s="14" t="s">
        <v>301</v>
      </c>
    </row>
    <row r="99" spans="1:19">
      <c r="A99" t="s">
        <v>492</v>
      </c>
      <c r="B99" t="s">
        <v>21</v>
      </c>
      <c r="C99" t="s">
        <v>493</v>
      </c>
      <c r="D99" t="s">
        <v>68</v>
      </c>
      <c r="E99" t="s">
        <v>77</v>
      </c>
      <c r="F99" t="s">
        <v>25</v>
      </c>
      <c r="G99" s="7">
        <v>24900</v>
      </c>
      <c r="H99" s="14" t="s">
        <v>26</v>
      </c>
      <c r="I99" s="14" t="s">
        <v>494</v>
      </c>
      <c r="J99" s="14" t="s">
        <v>495</v>
      </c>
      <c r="K99" s="14" t="s">
        <v>29</v>
      </c>
      <c r="L99" s="14" t="s">
        <v>30</v>
      </c>
      <c r="M99" s="14" t="s">
        <v>31</v>
      </c>
      <c r="N99" s="21">
        <v>1.8</v>
      </c>
      <c r="O99" s="14" t="s">
        <v>83</v>
      </c>
      <c r="P99" s="15">
        <v>20000</v>
      </c>
      <c r="Q99" s="14">
        <v>2021</v>
      </c>
      <c r="R99" s="16">
        <v>45566</v>
      </c>
      <c r="S99" s="14" t="s">
        <v>497</v>
      </c>
    </row>
    <row r="100" spans="1:19">
      <c r="A100" t="s">
        <v>498</v>
      </c>
      <c r="B100" t="s">
        <v>37</v>
      </c>
      <c r="C100" t="s">
        <v>499</v>
      </c>
      <c r="D100" t="s">
        <v>68</v>
      </c>
      <c r="E100" t="s">
        <v>77</v>
      </c>
      <c r="F100" t="s">
        <v>25</v>
      </c>
      <c r="G100" s="7">
        <v>26500</v>
      </c>
      <c r="H100" s="14" t="s">
        <v>729</v>
      </c>
      <c r="I100" s="14" t="s">
        <v>500</v>
      </c>
      <c r="J100" s="14" t="s">
        <v>501</v>
      </c>
      <c r="K100" s="14" t="s">
        <v>43</v>
      </c>
      <c r="L100" s="14" t="s">
        <v>44</v>
      </c>
      <c r="M100" s="14" t="s">
        <v>31</v>
      </c>
      <c r="N100" s="21">
        <v>2</v>
      </c>
      <c r="O100" s="14" t="s">
        <v>73</v>
      </c>
      <c r="P100" s="15">
        <v>18000</v>
      </c>
      <c r="Q100" s="14">
        <v>2022</v>
      </c>
      <c r="R100" s="16">
        <v>45566</v>
      </c>
      <c r="S100" s="14" t="s">
        <v>497</v>
      </c>
    </row>
    <row r="101" spans="1:19">
      <c r="A101" t="s">
        <v>502</v>
      </c>
      <c r="B101" t="s">
        <v>49</v>
      </c>
      <c r="C101" t="s">
        <v>503</v>
      </c>
      <c r="D101" t="s">
        <v>68</v>
      </c>
      <c r="E101" t="s">
        <v>77</v>
      </c>
      <c r="F101" t="s">
        <v>25</v>
      </c>
      <c r="G101" s="7">
        <v>21800</v>
      </c>
      <c r="H101" s="14" t="s">
        <v>26</v>
      </c>
      <c r="I101" s="14" t="s">
        <v>504</v>
      </c>
      <c r="J101" s="14" t="s">
        <v>505</v>
      </c>
      <c r="K101" s="14" t="s">
        <v>129</v>
      </c>
      <c r="L101" s="14" t="s">
        <v>81</v>
      </c>
      <c r="M101" s="14" t="s">
        <v>31</v>
      </c>
      <c r="N101" s="21">
        <v>1.6</v>
      </c>
      <c r="O101" s="14" t="s">
        <v>318</v>
      </c>
      <c r="P101" s="15">
        <v>16000</v>
      </c>
      <c r="Q101" s="14">
        <v>2022</v>
      </c>
      <c r="R101" s="16">
        <v>45566</v>
      </c>
      <c r="S101" s="14" t="s">
        <v>497</v>
      </c>
    </row>
    <row r="102" spans="1:19">
      <c r="A102" t="s">
        <v>506</v>
      </c>
      <c r="B102" t="s">
        <v>59</v>
      </c>
      <c r="C102" t="s">
        <v>507</v>
      </c>
      <c r="D102" t="s">
        <v>68</v>
      </c>
      <c r="E102" t="s">
        <v>77</v>
      </c>
      <c r="F102" t="s">
        <v>25</v>
      </c>
      <c r="G102" s="7">
        <v>24500</v>
      </c>
      <c r="H102" s="14" t="s">
        <v>26</v>
      </c>
      <c r="I102" s="14" t="s">
        <v>508</v>
      </c>
      <c r="J102" s="14" t="s">
        <v>509</v>
      </c>
      <c r="K102" s="14" t="s">
        <v>63</v>
      </c>
      <c r="L102" s="14" t="s">
        <v>44</v>
      </c>
      <c r="M102" s="14" t="s">
        <v>31</v>
      </c>
      <c r="N102" s="21">
        <v>2</v>
      </c>
      <c r="O102" s="14" t="s">
        <v>33</v>
      </c>
      <c r="P102" s="15">
        <v>15000</v>
      </c>
      <c r="Q102" s="14">
        <v>2022</v>
      </c>
      <c r="R102" s="16">
        <v>45566</v>
      </c>
      <c r="S102" s="14" t="s">
        <v>497</v>
      </c>
    </row>
    <row r="103" spans="1:19">
      <c r="A103" t="s">
        <v>510</v>
      </c>
      <c r="B103" t="s">
        <v>75</v>
      </c>
      <c r="C103" t="s">
        <v>511</v>
      </c>
      <c r="D103" t="s">
        <v>68</v>
      </c>
      <c r="E103" t="s">
        <v>77</v>
      </c>
      <c r="F103" t="s">
        <v>25</v>
      </c>
      <c r="G103" s="7">
        <v>27900</v>
      </c>
      <c r="H103" s="14" t="s">
        <v>729</v>
      </c>
      <c r="I103" s="14" t="s">
        <v>512</v>
      </c>
      <c r="J103" s="14" t="s">
        <v>513</v>
      </c>
      <c r="K103" s="14" t="s">
        <v>80</v>
      </c>
      <c r="L103" s="14" t="s">
        <v>81</v>
      </c>
      <c r="M103" s="14" t="s">
        <v>31</v>
      </c>
      <c r="N103" s="21">
        <v>1.3</v>
      </c>
      <c r="O103" s="14" t="s">
        <v>56</v>
      </c>
      <c r="P103" s="15">
        <v>13000</v>
      </c>
      <c r="Q103" s="14">
        <v>2023</v>
      </c>
      <c r="R103" s="16">
        <v>45566</v>
      </c>
      <c r="S103" s="14" t="s">
        <v>497</v>
      </c>
    </row>
    <row r="104" spans="1:19">
      <c r="A104" t="s">
        <v>515</v>
      </c>
      <c r="B104" t="s">
        <v>85</v>
      </c>
      <c r="C104" t="s">
        <v>516</v>
      </c>
      <c r="D104" t="s">
        <v>68</v>
      </c>
      <c r="E104" t="s">
        <v>77</v>
      </c>
      <c r="F104" t="s">
        <v>25</v>
      </c>
      <c r="G104" s="7">
        <v>23900</v>
      </c>
      <c r="H104" s="14" t="s">
        <v>26</v>
      </c>
      <c r="I104" s="14" t="s">
        <v>517</v>
      </c>
      <c r="J104" s="14" t="s">
        <v>518</v>
      </c>
      <c r="K104" s="14" t="s">
        <v>92</v>
      </c>
      <c r="L104" s="14" t="s">
        <v>93</v>
      </c>
      <c r="M104" s="14" t="s">
        <v>31</v>
      </c>
      <c r="N104" s="21">
        <v>1</v>
      </c>
      <c r="O104" s="14" t="s">
        <v>177</v>
      </c>
      <c r="P104" s="15">
        <v>14000</v>
      </c>
      <c r="Q104" s="14">
        <v>2022</v>
      </c>
      <c r="R104" s="16">
        <v>45566</v>
      </c>
      <c r="S104" s="14" t="s">
        <v>497</v>
      </c>
    </row>
    <row r="105" spans="1:19">
      <c r="A105" t="s">
        <v>519</v>
      </c>
      <c r="B105" t="s">
        <v>96</v>
      </c>
      <c r="C105" t="s">
        <v>520</v>
      </c>
      <c r="D105" t="s">
        <v>68</v>
      </c>
      <c r="E105" t="s">
        <v>77</v>
      </c>
      <c r="F105" t="s">
        <v>25</v>
      </c>
      <c r="G105" s="7">
        <v>25800</v>
      </c>
      <c r="H105" s="14" t="s">
        <v>729</v>
      </c>
      <c r="I105" s="14" t="s">
        <v>521</v>
      </c>
      <c r="J105" s="14" t="s">
        <v>369</v>
      </c>
      <c r="K105" s="14" t="s">
        <v>99</v>
      </c>
      <c r="L105" s="14" t="s">
        <v>93</v>
      </c>
      <c r="M105" s="14" t="s">
        <v>31</v>
      </c>
      <c r="N105" s="21">
        <v>1.3</v>
      </c>
      <c r="O105" s="14" t="s">
        <v>47</v>
      </c>
      <c r="P105" s="15">
        <v>17000</v>
      </c>
      <c r="Q105" s="14">
        <v>2022</v>
      </c>
      <c r="R105" s="16">
        <v>45566</v>
      </c>
      <c r="S105" s="14" t="s">
        <v>497</v>
      </c>
    </row>
    <row r="106" spans="1:19">
      <c r="A106" t="s">
        <v>522</v>
      </c>
      <c r="B106" t="s">
        <v>109</v>
      </c>
      <c r="C106" t="s">
        <v>523</v>
      </c>
      <c r="D106" t="s">
        <v>23</v>
      </c>
      <c r="E106" t="s">
        <v>51</v>
      </c>
      <c r="F106" t="s">
        <v>103</v>
      </c>
      <c r="G106" s="7">
        <v>64900</v>
      </c>
      <c r="H106" s="14" t="s">
        <v>732</v>
      </c>
      <c r="I106" s="14" t="s">
        <v>524</v>
      </c>
      <c r="J106" s="14" t="s">
        <v>525</v>
      </c>
      <c r="K106" s="14" t="s">
        <v>114</v>
      </c>
      <c r="L106" s="14" t="s">
        <v>44</v>
      </c>
      <c r="M106" s="14" t="s">
        <v>115</v>
      </c>
      <c r="N106" s="17" t="s">
        <v>733</v>
      </c>
      <c r="O106" s="14" t="s">
        <v>56</v>
      </c>
      <c r="P106" s="15">
        <v>2500</v>
      </c>
      <c r="Q106" s="14">
        <v>2024</v>
      </c>
      <c r="R106" s="16">
        <v>45566</v>
      </c>
      <c r="S106" s="14" t="s">
        <v>497</v>
      </c>
    </row>
    <row r="107" spans="1:19">
      <c r="A107" t="s">
        <v>526</v>
      </c>
      <c r="B107" t="s">
        <v>21</v>
      </c>
      <c r="C107" t="s">
        <v>527</v>
      </c>
      <c r="D107" t="s">
        <v>23</v>
      </c>
      <c r="E107" t="s">
        <v>51</v>
      </c>
      <c r="F107" t="s">
        <v>25</v>
      </c>
      <c r="G107" s="7">
        <v>33500</v>
      </c>
      <c r="H107" s="14" t="s">
        <v>729</v>
      </c>
      <c r="I107" s="14" t="s">
        <v>528</v>
      </c>
      <c r="J107" s="14" t="s">
        <v>529</v>
      </c>
      <c r="K107" s="14" t="s">
        <v>29</v>
      </c>
      <c r="L107" s="14" t="s">
        <v>30</v>
      </c>
      <c r="M107" s="14" t="s">
        <v>125</v>
      </c>
      <c r="N107" s="21">
        <v>1.5</v>
      </c>
      <c r="O107" s="14" t="s">
        <v>47</v>
      </c>
      <c r="P107" s="15">
        <v>11000</v>
      </c>
      <c r="Q107" s="14">
        <v>2023</v>
      </c>
      <c r="R107" s="16">
        <v>45566</v>
      </c>
      <c r="S107" s="14" t="s">
        <v>497</v>
      </c>
    </row>
    <row r="108" spans="1:19">
      <c r="A108" t="s">
        <v>530</v>
      </c>
      <c r="B108" t="s">
        <v>37</v>
      </c>
      <c r="C108" t="s">
        <v>531</v>
      </c>
      <c r="D108" t="s">
        <v>23</v>
      </c>
      <c r="E108" t="s">
        <v>51</v>
      </c>
      <c r="F108" t="s">
        <v>25</v>
      </c>
      <c r="G108" s="7">
        <v>58500</v>
      </c>
      <c r="H108" s="14" t="s">
        <v>731</v>
      </c>
      <c r="I108" s="14" t="s">
        <v>532</v>
      </c>
      <c r="J108" s="14" t="s">
        <v>533</v>
      </c>
      <c r="K108" s="14" t="s">
        <v>43</v>
      </c>
      <c r="L108" s="14" t="s">
        <v>44</v>
      </c>
      <c r="M108" s="14" t="s">
        <v>534</v>
      </c>
      <c r="N108" s="17" t="s">
        <v>733</v>
      </c>
      <c r="O108" s="14" t="s">
        <v>33</v>
      </c>
      <c r="P108" s="15">
        <v>5000</v>
      </c>
      <c r="Q108" s="14">
        <v>2024</v>
      </c>
      <c r="R108" s="16">
        <v>45566</v>
      </c>
      <c r="S108" s="14" t="s">
        <v>497</v>
      </c>
    </row>
    <row r="109" spans="1:19">
      <c r="A109" t="s">
        <v>535</v>
      </c>
      <c r="B109" t="s">
        <v>49</v>
      </c>
      <c r="C109" t="s">
        <v>536</v>
      </c>
      <c r="D109" t="s">
        <v>23</v>
      </c>
      <c r="E109" t="s">
        <v>51</v>
      </c>
      <c r="F109" t="s">
        <v>25</v>
      </c>
      <c r="G109" s="7">
        <v>31900</v>
      </c>
      <c r="H109" s="14" t="s">
        <v>729</v>
      </c>
      <c r="I109" s="14" t="s">
        <v>537</v>
      </c>
      <c r="J109" s="14" t="s">
        <v>538</v>
      </c>
      <c r="K109" s="14" t="s">
        <v>129</v>
      </c>
      <c r="L109" s="14" t="s">
        <v>81</v>
      </c>
      <c r="M109" s="14" t="s">
        <v>115</v>
      </c>
      <c r="N109" s="17" t="s">
        <v>733</v>
      </c>
      <c r="O109" s="14" t="s">
        <v>177</v>
      </c>
      <c r="P109" s="15">
        <v>9000</v>
      </c>
      <c r="Q109" s="14">
        <v>2023</v>
      </c>
      <c r="R109" s="16">
        <v>45566</v>
      </c>
      <c r="S109" s="14" t="s">
        <v>497</v>
      </c>
    </row>
    <row r="110" spans="1:19">
      <c r="A110" t="s">
        <v>539</v>
      </c>
      <c r="B110" t="s">
        <v>59</v>
      </c>
      <c r="C110" t="s">
        <v>540</v>
      </c>
      <c r="D110" t="s">
        <v>23</v>
      </c>
      <c r="E110" t="s">
        <v>51</v>
      </c>
      <c r="F110" t="s">
        <v>25</v>
      </c>
      <c r="G110" s="7">
        <v>29800</v>
      </c>
      <c r="H110" s="14" t="s">
        <v>729</v>
      </c>
      <c r="I110" s="14" t="s">
        <v>541</v>
      </c>
      <c r="J110" s="14" t="s">
        <v>542</v>
      </c>
      <c r="K110" s="14" t="s">
        <v>63</v>
      </c>
      <c r="L110" s="14" t="s">
        <v>44</v>
      </c>
      <c r="M110" s="14" t="s">
        <v>115</v>
      </c>
      <c r="N110" s="17" t="s">
        <v>733</v>
      </c>
      <c r="O110" s="14" t="s">
        <v>83</v>
      </c>
      <c r="P110" s="15">
        <v>7000</v>
      </c>
      <c r="Q110" s="14">
        <v>2023</v>
      </c>
      <c r="R110" s="16">
        <v>45566</v>
      </c>
      <c r="S110" s="14" t="s">
        <v>497</v>
      </c>
    </row>
    <row r="111" spans="1:19">
      <c r="A111" t="s">
        <v>543</v>
      </c>
      <c r="B111" t="s">
        <v>75</v>
      </c>
      <c r="C111" t="s">
        <v>544</v>
      </c>
      <c r="D111" t="s">
        <v>68</v>
      </c>
      <c r="E111" t="s">
        <v>77</v>
      </c>
      <c r="F111" t="s">
        <v>25</v>
      </c>
      <c r="G111" s="7">
        <v>45900</v>
      </c>
      <c r="H111" s="14" t="s">
        <v>731</v>
      </c>
      <c r="I111" s="14" t="s">
        <v>545</v>
      </c>
      <c r="J111" s="14" t="s">
        <v>546</v>
      </c>
      <c r="K111" s="14" t="s">
        <v>80</v>
      </c>
      <c r="L111" s="14" t="s">
        <v>81</v>
      </c>
      <c r="M111" s="14" t="s">
        <v>125</v>
      </c>
      <c r="N111" s="21">
        <v>2</v>
      </c>
      <c r="O111" s="14" t="s">
        <v>73</v>
      </c>
      <c r="P111" s="15">
        <v>6000</v>
      </c>
      <c r="Q111" s="14">
        <v>2024</v>
      </c>
      <c r="R111" s="16">
        <v>45566</v>
      </c>
      <c r="S111" s="14" t="s">
        <v>497</v>
      </c>
    </row>
    <row r="112" spans="1:19">
      <c r="A112" t="s">
        <v>548</v>
      </c>
      <c r="B112" t="s">
        <v>85</v>
      </c>
      <c r="C112" t="s">
        <v>549</v>
      </c>
      <c r="D112" t="s">
        <v>87</v>
      </c>
      <c r="E112" t="s">
        <v>88</v>
      </c>
      <c r="F112" t="s">
        <v>25</v>
      </c>
      <c r="G112" s="7">
        <v>55900</v>
      </c>
      <c r="H112" s="14" t="s">
        <v>731</v>
      </c>
      <c r="I112" s="14" t="s">
        <v>550</v>
      </c>
      <c r="J112" s="14" t="s">
        <v>551</v>
      </c>
      <c r="K112" s="14" t="s">
        <v>92</v>
      </c>
      <c r="L112" s="14" t="s">
        <v>93</v>
      </c>
      <c r="M112" s="14" t="s">
        <v>115</v>
      </c>
      <c r="N112" s="17" t="s">
        <v>733</v>
      </c>
      <c r="O112" s="14" t="s">
        <v>33</v>
      </c>
      <c r="P112" s="15">
        <v>4000</v>
      </c>
      <c r="Q112" s="14">
        <v>2024</v>
      </c>
      <c r="R112" s="16">
        <v>45566</v>
      </c>
      <c r="S112" s="14" t="s">
        <v>497</v>
      </c>
    </row>
    <row r="113" spans="1:19">
      <c r="A113" t="s">
        <v>552</v>
      </c>
      <c r="B113" t="s">
        <v>96</v>
      </c>
      <c r="C113" t="s">
        <v>553</v>
      </c>
      <c r="D113" t="s">
        <v>23</v>
      </c>
      <c r="E113" t="s">
        <v>51</v>
      </c>
      <c r="F113" t="s">
        <v>25</v>
      </c>
      <c r="G113" s="7">
        <v>26900</v>
      </c>
      <c r="H113" s="14" t="s">
        <v>729</v>
      </c>
      <c r="I113" s="14" t="s">
        <v>554</v>
      </c>
      <c r="J113" s="14" t="s">
        <v>555</v>
      </c>
      <c r="K113" s="14" t="s">
        <v>99</v>
      </c>
      <c r="L113" s="14" t="s">
        <v>93</v>
      </c>
      <c r="M113" s="14" t="s">
        <v>115</v>
      </c>
      <c r="N113" s="17" t="s">
        <v>733</v>
      </c>
      <c r="O113" s="14" t="s">
        <v>65</v>
      </c>
      <c r="P113" s="15">
        <v>8000</v>
      </c>
      <c r="Q113" s="14">
        <v>2023</v>
      </c>
      <c r="R113" s="16">
        <v>45566</v>
      </c>
      <c r="S113" s="14" t="s">
        <v>497</v>
      </c>
    </row>
    <row r="114" spans="1:19">
      <c r="A114" t="s">
        <v>556</v>
      </c>
      <c r="B114" t="s">
        <v>101</v>
      </c>
      <c r="C114" t="s">
        <v>557</v>
      </c>
      <c r="D114" t="s">
        <v>68</v>
      </c>
      <c r="E114" t="s">
        <v>77</v>
      </c>
      <c r="F114" t="s">
        <v>103</v>
      </c>
      <c r="G114" s="7">
        <v>83900</v>
      </c>
      <c r="H114" s="14" t="s">
        <v>732</v>
      </c>
      <c r="I114" s="14" t="s">
        <v>558</v>
      </c>
      <c r="J114" s="14" t="s">
        <v>559</v>
      </c>
      <c r="K114" s="14" t="s">
        <v>106</v>
      </c>
      <c r="L114" s="14" t="s">
        <v>30</v>
      </c>
      <c r="M114" s="14" t="s">
        <v>115</v>
      </c>
      <c r="N114" s="17" t="s">
        <v>733</v>
      </c>
      <c r="O114" s="14" t="s">
        <v>47</v>
      </c>
      <c r="P114" s="15">
        <v>5000</v>
      </c>
      <c r="Q114" s="14">
        <v>2024</v>
      </c>
      <c r="R114" s="16">
        <v>45597</v>
      </c>
      <c r="S114" s="14" t="s">
        <v>497</v>
      </c>
    </row>
    <row r="115" spans="1:19">
      <c r="A115" t="s">
        <v>561</v>
      </c>
      <c r="B115" t="s">
        <v>21</v>
      </c>
      <c r="C115" t="s">
        <v>562</v>
      </c>
      <c r="D115" t="s">
        <v>68</v>
      </c>
      <c r="E115" t="s">
        <v>77</v>
      </c>
      <c r="F115" t="s">
        <v>25</v>
      </c>
      <c r="G115" s="7">
        <v>47900</v>
      </c>
      <c r="H115" s="14" t="s">
        <v>731</v>
      </c>
      <c r="I115" s="14" t="s">
        <v>563</v>
      </c>
      <c r="J115" s="14" t="s">
        <v>564</v>
      </c>
      <c r="K115" s="14" t="s">
        <v>29</v>
      </c>
      <c r="L115" s="14" t="s">
        <v>30</v>
      </c>
      <c r="M115" s="14" t="s">
        <v>115</v>
      </c>
      <c r="N115" s="17" t="s">
        <v>733</v>
      </c>
      <c r="O115" s="14" t="s">
        <v>56</v>
      </c>
      <c r="P115" s="15">
        <v>3000</v>
      </c>
      <c r="Q115" s="14">
        <v>2024</v>
      </c>
      <c r="R115" s="16">
        <v>45597</v>
      </c>
      <c r="S115" s="14" t="s">
        <v>497</v>
      </c>
    </row>
    <row r="116" spans="1:19">
      <c r="A116" t="s">
        <v>565</v>
      </c>
      <c r="B116" t="s">
        <v>37</v>
      </c>
      <c r="C116" t="s">
        <v>566</v>
      </c>
      <c r="D116" t="s">
        <v>68</v>
      </c>
      <c r="E116" t="s">
        <v>77</v>
      </c>
      <c r="F116" t="s">
        <v>25</v>
      </c>
      <c r="G116" s="7">
        <v>42500</v>
      </c>
      <c r="H116" s="14" t="s">
        <v>731</v>
      </c>
      <c r="I116" s="14" t="s">
        <v>567</v>
      </c>
      <c r="J116" s="14" t="s">
        <v>568</v>
      </c>
      <c r="K116" s="14" t="s">
        <v>43</v>
      </c>
      <c r="L116" s="14" t="s">
        <v>44</v>
      </c>
      <c r="M116" s="14" t="s">
        <v>115</v>
      </c>
      <c r="N116" s="17" t="s">
        <v>733</v>
      </c>
      <c r="O116" s="14" t="s">
        <v>33</v>
      </c>
      <c r="P116" s="15">
        <v>4500</v>
      </c>
      <c r="Q116" s="14">
        <v>2024</v>
      </c>
      <c r="R116" s="16">
        <v>45597</v>
      </c>
      <c r="S116" s="14" t="s">
        <v>497</v>
      </c>
    </row>
    <row r="117" spans="1:19">
      <c r="A117" t="s">
        <v>569</v>
      </c>
      <c r="B117" t="s">
        <v>49</v>
      </c>
      <c r="C117" t="s">
        <v>570</v>
      </c>
      <c r="D117" t="s">
        <v>68</v>
      </c>
      <c r="E117" t="s">
        <v>77</v>
      </c>
      <c r="F117" t="s">
        <v>25</v>
      </c>
      <c r="G117" s="7">
        <v>43900</v>
      </c>
      <c r="H117" s="14" t="s">
        <v>731</v>
      </c>
      <c r="I117" s="14" t="s">
        <v>571</v>
      </c>
      <c r="J117" s="14" t="s">
        <v>572</v>
      </c>
      <c r="K117" s="14" t="s">
        <v>129</v>
      </c>
      <c r="L117" s="14" t="s">
        <v>81</v>
      </c>
      <c r="M117" s="14" t="s">
        <v>115</v>
      </c>
      <c r="N117" s="17" t="s">
        <v>733</v>
      </c>
      <c r="O117" s="14" t="s">
        <v>73</v>
      </c>
      <c r="P117" s="15">
        <v>3500</v>
      </c>
      <c r="Q117" s="14">
        <v>2024</v>
      </c>
      <c r="R117" s="16">
        <v>45597</v>
      </c>
      <c r="S117" s="14" t="s">
        <v>497</v>
      </c>
    </row>
    <row r="118" spans="1:19">
      <c r="A118" t="s">
        <v>574</v>
      </c>
      <c r="B118" t="s">
        <v>59</v>
      </c>
      <c r="C118" t="s">
        <v>575</v>
      </c>
      <c r="D118" t="s">
        <v>68</v>
      </c>
      <c r="E118" t="s">
        <v>77</v>
      </c>
      <c r="F118" t="s">
        <v>25</v>
      </c>
      <c r="G118" s="7">
        <v>44500</v>
      </c>
      <c r="H118" s="14" t="s">
        <v>731</v>
      </c>
      <c r="I118" s="14" t="s">
        <v>576</v>
      </c>
      <c r="J118" s="14" t="s">
        <v>577</v>
      </c>
      <c r="K118" s="14" t="s">
        <v>63</v>
      </c>
      <c r="L118" s="14" t="s">
        <v>44</v>
      </c>
      <c r="M118" s="14" t="s">
        <v>115</v>
      </c>
      <c r="N118" s="17" t="s">
        <v>733</v>
      </c>
      <c r="O118" s="14" t="s">
        <v>47</v>
      </c>
      <c r="P118" s="15">
        <v>5500</v>
      </c>
      <c r="Q118" s="14">
        <v>2023</v>
      </c>
      <c r="R118" s="16">
        <v>45597</v>
      </c>
      <c r="S118" s="14" t="s">
        <v>497</v>
      </c>
    </row>
    <row r="119" spans="1:19">
      <c r="A119" t="s">
        <v>578</v>
      </c>
      <c r="B119" t="s">
        <v>75</v>
      </c>
      <c r="C119" t="s">
        <v>579</v>
      </c>
      <c r="D119" t="s">
        <v>68</v>
      </c>
      <c r="E119" t="s">
        <v>77</v>
      </c>
      <c r="F119" t="s">
        <v>25</v>
      </c>
      <c r="G119" s="7">
        <v>47800</v>
      </c>
      <c r="H119" s="14" t="s">
        <v>731</v>
      </c>
      <c r="I119" s="14" t="s">
        <v>580</v>
      </c>
      <c r="J119" s="14" t="s">
        <v>581</v>
      </c>
      <c r="K119" s="14" t="s">
        <v>80</v>
      </c>
      <c r="L119" s="14" t="s">
        <v>81</v>
      </c>
      <c r="M119" s="14" t="s">
        <v>31</v>
      </c>
      <c r="N119" s="21">
        <v>3.6</v>
      </c>
      <c r="O119" s="14" t="s">
        <v>83</v>
      </c>
      <c r="P119" s="15">
        <v>12000</v>
      </c>
      <c r="Q119" s="14">
        <v>2023</v>
      </c>
      <c r="R119" s="16">
        <v>45597</v>
      </c>
      <c r="S119" s="14" t="s">
        <v>497</v>
      </c>
    </row>
    <row r="120" spans="1:19">
      <c r="A120" t="s">
        <v>582</v>
      </c>
      <c r="B120" t="s">
        <v>85</v>
      </c>
      <c r="C120" t="s">
        <v>583</v>
      </c>
      <c r="D120" t="s">
        <v>87</v>
      </c>
      <c r="E120" t="s">
        <v>88</v>
      </c>
      <c r="F120" t="s">
        <v>25</v>
      </c>
      <c r="G120" s="7">
        <v>24900</v>
      </c>
      <c r="H120" s="14" t="s">
        <v>26</v>
      </c>
      <c r="I120" s="14" t="s">
        <v>584</v>
      </c>
      <c r="J120" s="14" t="s">
        <v>585</v>
      </c>
      <c r="K120" s="14" t="s">
        <v>92</v>
      </c>
      <c r="L120" s="14" t="s">
        <v>93</v>
      </c>
      <c r="M120" s="14" t="s">
        <v>31</v>
      </c>
      <c r="N120" s="21">
        <v>2</v>
      </c>
      <c r="O120" s="14" t="s">
        <v>318</v>
      </c>
      <c r="P120" s="15">
        <v>11000</v>
      </c>
      <c r="Q120" s="14">
        <v>2023</v>
      </c>
      <c r="R120" s="16">
        <v>45597</v>
      </c>
      <c r="S120" s="14" t="s">
        <v>497</v>
      </c>
    </row>
    <row r="121" spans="1:19">
      <c r="A121" t="s">
        <v>586</v>
      </c>
      <c r="B121" t="s">
        <v>96</v>
      </c>
      <c r="C121" t="s">
        <v>587</v>
      </c>
      <c r="D121" t="s">
        <v>258</v>
      </c>
      <c r="E121" t="s">
        <v>259</v>
      </c>
      <c r="F121" t="s">
        <v>25</v>
      </c>
      <c r="G121" s="7">
        <v>65900</v>
      </c>
      <c r="H121" s="14" t="s">
        <v>732</v>
      </c>
      <c r="I121" s="14" t="s">
        <v>588</v>
      </c>
      <c r="J121" s="14" t="s">
        <v>589</v>
      </c>
      <c r="K121" s="14" t="s">
        <v>99</v>
      </c>
      <c r="L121" s="14" t="s">
        <v>93</v>
      </c>
      <c r="M121" s="14" t="s">
        <v>31</v>
      </c>
      <c r="N121" s="21">
        <v>6.2</v>
      </c>
      <c r="O121" s="14" t="s">
        <v>65</v>
      </c>
      <c r="P121" s="15">
        <v>7000</v>
      </c>
      <c r="Q121" s="14">
        <v>2023</v>
      </c>
      <c r="R121" s="16">
        <v>45597</v>
      </c>
      <c r="S121" s="14" t="s">
        <v>497</v>
      </c>
    </row>
    <row r="122" spans="1:19">
      <c r="A122" t="s">
        <v>591</v>
      </c>
      <c r="B122" t="s">
        <v>109</v>
      </c>
      <c r="C122" t="s">
        <v>592</v>
      </c>
      <c r="D122" t="s">
        <v>23</v>
      </c>
      <c r="E122" t="s">
        <v>51</v>
      </c>
      <c r="F122" t="s">
        <v>103</v>
      </c>
      <c r="G122" s="7">
        <v>129900</v>
      </c>
      <c r="H122" s="14" t="s">
        <v>734</v>
      </c>
      <c r="I122" s="14" t="s">
        <v>593</v>
      </c>
      <c r="J122" s="14" t="s">
        <v>594</v>
      </c>
      <c r="K122" s="14" t="s">
        <v>114</v>
      </c>
      <c r="L122" s="14" t="s">
        <v>44</v>
      </c>
      <c r="M122" s="14" t="s">
        <v>115</v>
      </c>
      <c r="N122" s="17" t="s">
        <v>733</v>
      </c>
      <c r="O122" s="14" t="s">
        <v>73</v>
      </c>
      <c r="P122" s="15">
        <v>1500</v>
      </c>
      <c r="Q122" s="14">
        <v>2024</v>
      </c>
      <c r="R122" s="16">
        <v>45597</v>
      </c>
      <c r="S122" s="14" t="s">
        <v>497</v>
      </c>
    </row>
    <row r="123" spans="1:19">
      <c r="A123" t="s">
        <v>595</v>
      </c>
      <c r="B123" t="s">
        <v>21</v>
      </c>
      <c r="C123" t="s">
        <v>596</v>
      </c>
      <c r="D123" t="s">
        <v>258</v>
      </c>
      <c r="E123" t="s">
        <v>259</v>
      </c>
      <c r="F123" t="s">
        <v>25</v>
      </c>
      <c r="G123" s="7">
        <v>32900</v>
      </c>
      <c r="H123" s="14" t="s">
        <v>729</v>
      </c>
      <c r="I123" s="14" t="s">
        <v>597</v>
      </c>
      <c r="J123" s="14" t="s">
        <v>598</v>
      </c>
      <c r="K123" s="14" t="s">
        <v>29</v>
      </c>
      <c r="L123" s="14" t="s">
        <v>30</v>
      </c>
      <c r="M123" s="14" t="s">
        <v>31</v>
      </c>
      <c r="N123" s="21">
        <v>2</v>
      </c>
      <c r="O123" s="14" t="s">
        <v>33</v>
      </c>
      <c r="P123" s="15">
        <v>8000</v>
      </c>
      <c r="Q123" s="14">
        <v>2023</v>
      </c>
      <c r="R123" s="16">
        <v>45597</v>
      </c>
      <c r="S123" s="14" t="s">
        <v>497</v>
      </c>
    </row>
    <row r="124" spans="1:19">
      <c r="A124" t="s">
        <v>599</v>
      </c>
      <c r="B124" t="s">
        <v>37</v>
      </c>
      <c r="C124" t="s">
        <v>600</v>
      </c>
      <c r="D124" t="s">
        <v>258</v>
      </c>
      <c r="E124" t="s">
        <v>259</v>
      </c>
      <c r="F124" t="s">
        <v>25</v>
      </c>
      <c r="G124" s="7">
        <v>31500</v>
      </c>
      <c r="H124" s="14" t="s">
        <v>729</v>
      </c>
      <c r="I124" s="14" t="s">
        <v>601</v>
      </c>
      <c r="J124" s="14" t="s">
        <v>602</v>
      </c>
      <c r="K124" s="14" t="s">
        <v>43</v>
      </c>
      <c r="L124" s="14" t="s">
        <v>44</v>
      </c>
      <c r="M124" s="14" t="s">
        <v>31</v>
      </c>
      <c r="N124" s="21">
        <v>2.4</v>
      </c>
      <c r="O124" s="14" t="s">
        <v>398</v>
      </c>
      <c r="P124" s="15">
        <v>6000</v>
      </c>
      <c r="Q124" s="14">
        <v>2023</v>
      </c>
      <c r="R124" s="16">
        <v>45597</v>
      </c>
      <c r="S124" s="14" t="s">
        <v>497</v>
      </c>
    </row>
    <row r="125" spans="1:19">
      <c r="A125" t="s">
        <v>603</v>
      </c>
      <c r="B125" t="s">
        <v>49</v>
      </c>
      <c r="C125" t="s">
        <v>604</v>
      </c>
      <c r="D125" t="s">
        <v>258</v>
      </c>
      <c r="E125" t="s">
        <v>259</v>
      </c>
      <c r="F125" t="s">
        <v>25</v>
      </c>
      <c r="G125" s="7">
        <v>41900</v>
      </c>
      <c r="H125" s="14" t="s">
        <v>731</v>
      </c>
      <c r="I125" s="14" t="s">
        <v>605</v>
      </c>
      <c r="J125" s="14" t="s">
        <v>606</v>
      </c>
      <c r="K125" s="14" t="s">
        <v>129</v>
      </c>
      <c r="L125" s="14" t="s">
        <v>81</v>
      </c>
      <c r="M125" s="14" t="s">
        <v>31</v>
      </c>
      <c r="N125" s="21">
        <v>3</v>
      </c>
      <c r="O125" s="14" t="s">
        <v>56</v>
      </c>
      <c r="P125" s="15">
        <v>4000</v>
      </c>
      <c r="Q125" s="14">
        <v>2024</v>
      </c>
      <c r="R125" s="16">
        <v>45597</v>
      </c>
      <c r="S125" s="14" t="s">
        <v>497</v>
      </c>
    </row>
    <row r="126" spans="1:19">
      <c r="A126" t="s">
        <v>607</v>
      </c>
      <c r="B126" t="s">
        <v>59</v>
      </c>
      <c r="C126" t="s">
        <v>608</v>
      </c>
      <c r="D126" t="s">
        <v>23</v>
      </c>
      <c r="E126" t="s">
        <v>51</v>
      </c>
      <c r="F126" t="s">
        <v>25</v>
      </c>
      <c r="G126" s="7">
        <v>34500</v>
      </c>
      <c r="H126" s="14" t="s">
        <v>729</v>
      </c>
      <c r="I126" s="14" t="s">
        <v>609</v>
      </c>
      <c r="J126" s="14" t="s">
        <v>610</v>
      </c>
      <c r="K126" s="14" t="s">
        <v>63</v>
      </c>
      <c r="L126" s="14" t="s">
        <v>44</v>
      </c>
      <c r="M126" s="14" t="s">
        <v>31</v>
      </c>
      <c r="N126" s="21">
        <v>2</v>
      </c>
      <c r="O126" s="14" t="s">
        <v>65</v>
      </c>
      <c r="P126" s="15">
        <v>5000</v>
      </c>
      <c r="Q126" s="14">
        <v>2024</v>
      </c>
      <c r="R126" s="16">
        <v>45597</v>
      </c>
      <c r="S126" s="14" t="s">
        <v>497</v>
      </c>
    </row>
    <row r="127" spans="1:19">
      <c r="A127" t="s">
        <v>611</v>
      </c>
      <c r="B127" t="s">
        <v>75</v>
      </c>
      <c r="C127" t="s">
        <v>612</v>
      </c>
      <c r="D127" t="s">
        <v>68</v>
      </c>
      <c r="E127" t="s">
        <v>77</v>
      </c>
      <c r="F127" t="s">
        <v>25</v>
      </c>
      <c r="G127" s="7">
        <v>61900</v>
      </c>
      <c r="H127" s="14" t="s">
        <v>732</v>
      </c>
      <c r="I127" s="14" t="s">
        <v>613</v>
      </c>
      <c r="J127" s="14" t="s">
        <v>614</v>
      </c>
      <c r="K127" s="14" t="s">
        <v>80</v>
      </c>
      <c r="L127" s="14" t="s">
        <v>81</v>
      </c>
      <c r="M127" s="14" t="s">
        <v>31</v>
      </c>
      <c r="N127" s="21">
        <v>5.7</v>
      </c>
      <c r="O127" s="14" t="s">
        <v>73</v>
      </c>
      <c r="P127" s="15">
        <v>8000</v>
      </c>
      <c r="Q127" s="14">
        <v>2023</v>
      </c>
      <c r="R127" s="16">
        <v>45597</v>
      </c>
      <c r="S127" s="14" t="s">
        <v>497</v>
      </c>
    </row>
    <row r="128" spans="1:19">
      <c r="A128" t="s">
        <v>615</v>
      </c>
      <c r="B128" t="s">
        <v>85</v>
      </c>
      <c r="C128" t="s">
        <v>616</v>
      </c>
      <c r="D128" t="s">
        <v>68</v>
      </c>
      <c r="E128" t="s">
        <v>77</v>
      </c>
      <c r="F128" t="s">
        <v>25</v>
      </c>
      <c r="G128" s="7">
        <v>29800</v>
      </c>
      <c r="H128" s="14" t="s">
        <v>729</v>
      </c>
      <c r="I128" s="14" t="s">
        <v>617</v>
      </c>
      <c r="J128" s="14" t="s">
        <v>618</v>
      </c>
      <c r="K128" s="14" t="s">
        <v>92</v>
      </c>
      <c r="L128" s="14" t="s">
        <v>93</v>
      </c>
      <c r="M128" s="14" t="s">
        <v>31</v>
      </c>
      <c r="N128" s="21">
        <v>1.5</v>
      </c>
      <c r="O128" s="14" t="s">
        <v>177</v>
      </c>
      <c r="P128" s="15">
        <v>9000</v>
      </c>
      <c r="Q128" s="14">
        <v>2023</v>
      </c>
      <c r="R128" s="16">
        <v>45597</v>
      </c>
      <c r="S128" s="14" t="s">
        <v>497</v>
      </c>
    </row>
    <row r="129" spans="1:19">
      <c r="A129" t="s">
        <v>619</v>
      </c>
      <c r="B129" t="s">
        <v>96</v>
      </c>
      <c r="C129" t="s">
        <v>620</v>
      </c>
      <c r="D129" t="s">
        <v>258</v>
      </c>
      <c r="E129" t="s">
        <v>259</v>
      </c>
      <c r="F129" t="s">
        <v>25</v>
      </c>
      <c r="G129" s="7">
        <v>106900</v>
      </c>
      <c r="H129" s="14" t="s">
        <v>734</v>
      </c>
      <c r="I129" s="14" t="s">
        <v>621</v>
      </c>
      <c r="J129" s="14" t="s">
        <v>622</v>
      </c>
      <c r="K129" s="14" t="s">
        <v>99</v>
      </c>
      <c r="L129" s="14" t="s">
        <v>93</v>
      </c>
      <c r="M129" s="14" t="s">
        <v>31</v>
      </c>
      <c r="N129" s="21">
        <v>5.5</v>
      </c>
      <c r="O129" s="14" t="s">
        <v>318</v>
      </c>
      <c r="P129" s="15">
        <v>2000</v>
      </c>
      <c r="Q129" s="14">
        <v>2024</v>
      </c>
      <c r="R129" s="16">
        <v>45627</v>
      </c>
      <c r="S129" s="14" t="s">
        <v>497</v>
      </c>
    </row>
    <row r="130" spans="1:19">
      <c r="A130" t="s">
        <v>625</v>
      </c>
      <c r="B130" t="s">
        <v>101</v>
      </c>
      <c r="C130" t="s">
        <v>626</v>
      </c>
      <c r="D130" t="s">
        <v>23</v>
      </c>
      <c r="E130" t="s">
        <v>51</v>
      </c>
      <c r="F130" t="s">
        <v>103</v>
      </c>
      <c r="G130" s="7">
        <v>69900</v>
      </c>
      <c r="H130" s="14" t="s">
        <v>732</v>
      </c>
      <c r="I130" s="14" t="s">
        <v>627</v>
      </c>
      <c r="J130" s="14" t="s">
        <v>628</v>
      </c>
      <c r="K130" s="14" t="s">
        <v>106</v>
      </c>
      <c r="L130" s="14" t="s">
        <v>30</v>
      </c>
      <c r="M130" s="14" t="s">
        <v>31</v>
      </c>
      <c r="N130" s="21">
        <v>3</v>
      </c>
      <c r="O130" s="14" t="s">
        <v>47</v>
      </c>
      <c r="P130" s="15">
        <v>6000</v>
      </c>
      <c r="Q130" s="14">
        <v>2023</v>
      </c>
      <c r="R130" s="16">
        <v>45627</v>
      </c>
      <c r="S130" s="14" t="s">
        <v>497</v>
      </c>
    </row>
    <row r="131" spans="1:19">
      <c r="A131" t="s">
        <v>629</v>
      </c>
      <c r="B131" t="s">
        <v>21</v>
      </c>
      <c r="C131" t="s">
        <v>630</v>
      </c>
      <c r="D131" t="s">
        <v>23</v>
      </c>
      <c r="E131" t="s">
        <v>51</v>
      </c>
      <c r="F131" t="s">
        <v>25</v>
      </c>
      <c r="G131" s="7">
        <v>42900</v>
      </c>
      <c r="H131" s="14" t="s">
        <v>731</v>
      </c>
      <c r="I131" s="14" t="s">
        <v>631</v>
      </c>
      <c r="J131" s="14" t="s">
        <v>632</v>
      </c>
      <c r="K131" s="14" t="s">
        <v>29</v>
      </c>
      <c r="L131" s="14" t="s">
        <v>30</v>
      </c>
      <c r="M131" s="14" t="s">
        <v>31</v>
      </c>
      <c r="N131" s="21">
        <v>2</v>
      </c>
      <c r="O131" s="14" t="s">
        <v>65</v>
      </c>
      <c r="P131" s="15">
        <v>4000</v>
      </c>
      <c r="Q131" s="14">
        <v>2024</v>
      </c>
      <c r="R131" s="16">
        <v>45627</v>
      </c>
      <c r="S131" s="14" t="s">
        <v>497</v>
      </c>
    </row>
    <row r="132" spans="1:19">
      <c r="A132" t="s">
        <v>633</v>
      </c>
      <c r="B132" t="s">
        <v>37</v>
      </c>
      <c r="C132" t="s">
        <v>634</v>
      </c>
      <c r="D132" t="s">
        <v>258</v>
      </c>
      <c r="E132" t="s">
        <v>635</v>
      </c>
      <c r="F132" t="s">
        <v>25</v>
      </c>
      <c r="G132" s="7">
        <v>51900</v>
      </c>
      <c r="H132" s="14" t="s">
        <v>731</v>
      </c>
      <c r="I132" s="14" t="s">
        <v>636</v>
      </c>
      <c r="J132" s="14" t="s">
        <v>168</v>
      </c>
      <c r="K132" s="14" t="s">
        <v>43</v>
      </c>
      <c r="L132" s="14" t="s">
        <v>44</v>
      </c>
      <c r="M132" s="14" t="s">
        <v>31</v>
      </c>
      <c r="N132" s="21">
        <v>3</v>
      </c>
      <c r="O132" s="14" t="s">
        <v>33</v>
      </c>
      <c r="P132" s="15">
        <v>3000</v>
      </c>
      <c r="Q132" s="14">
        <v>2024</v>
      </c>
      <c r="R132" s="16">
        <v>45627</v>
      </c>
      <c r="S132" s="14" t="s">
        <v>497</v>
      </c>
    </row>
    <row r="133" spans="1:19">
      <c r="A133" t="s">
        <v>637</v>
      </c>
      <c r="B133" t="s">
        <v>49</v>
      </c>
      <c r="C133" t="s">
        <v>638</v>
      </c>
      <c r="D133" t="s">
        <v>258</v>
      </c>
      <c r="E133" t="s">
        <v>635</v>
      </c>
      <c r="F133" t="s">
        <v>25</v>
      </c>
      <c r="G133" s="7">
        <v>115900</v>
      </c>
      <c r="H133" s="14" t="s">
        <v>734</v>
      </c>
      <c r="I133" s="14" t="s">
        <v>639</v>
      </c>
      <c r="J133" s="14" t="s">
        <v>640</v>
      </c>
      <c r="K133" s="14" t="s">
        <v>129</v>
      </c>
      <c r="L133" s="14" t="s">
        <v>81</v>
      </c>
      <c r="M133" s="14" t="s">
        <v>31</v>
      </c>
      <c r="N133" s="21">
        <v>3.8</v>
      </c>
      <c r="O133" s="14" t="s">
        <v>73</v>
      </c>
      <c r="P133" s="15">
        <v>2500</v>
      </c>
      <c r="Q133" s="14">
        <v>2024</v>
      </c>
      <c r="R133" s="16">
        <v>45627</v>
      </c>
      <c r="S133" s="14" t="s">
        <v>497</v>
      </c>
    </row>
    <row r="134" spans="1:19">
      <c r="A134" t="s">
        <v>641</v>
      </c>
      <c r="B134" t="s">
        <v>59</v>
      </c>
      <c r="C134" t="s">
        <v>642</v>
      </c>
      <c r="D134" t="s">
        <v>23</v>
      </c>
      <c r="E134" t="s">
        <v>51</v>
      </c>
      <c r="F134" t="s">
        <v>25</v>
      </c>
      <c r="G134" s="7">
        <v>74900</v>
      </c>
      <c r="H134" s="14" t="s">
        <v>732</v>
      </c>
      <c r="I134" s="14" t="s">
        <v>643</v>
      </c>
      <c r="J134" s="14" t="s">
        <v>644</v>
      </c>
      <c r="K134" s="14" t="s">
        <v>63</v>
      </c>
      <c r="L134" s="14" t="s">
        <v>44</v>
      </c>
      <c r="M134" s="14" t="s">
        <v>31</v>
      </c>
      <c r="N134" s="21">
        <v>3.3</v>
      </c>
      <c r="O134" s="14" t="s">
        <v>56</v>
      </c>
      <c r="P134" s="15">
        <v>3500</v>
      </c>
      <c r="Q134" s="14">
        <v>2024</v>
      </c>
      <c r="R134" s="16">
        <v>45627</v>
      </c>
      <c r="S134" s="14" t="s">
        <v>497</v>
      </c>
    </row>
    <row r="135" spans="1:19">
      <c r="A135" t="s">
        <v>645</v>
      </c>
      <c r="B135" t="s">
        <v>75</v>
      </c>
      <c r="C135" t="s">
        <v>646</v>
      </c>
      <c r="D135" t="s">
        <v>68</v>
      </c>
      <c r="E135" t="s">
        <v>77</v>
      </c>
      <c r="F135" t="s">
        <v>25</v>
      </c>
      <c r="G135" s="7">
        <v>89900</v>
      </c>
      <c r="H135" s="14" t="s">
        <v>732</v>
      </c>
      <c r="I135" s="14" t="s">
        <v>647</v>
      </c>
      <c r="J135" s="14" t="s">
        <v>648</v>
      </c>
      <c r="K135" s="14" t="s">
        <v>80</v>
      </c>
      <c r="L135" s="14" t="s">
        <v>81</v>
      </c>
      <c r="M135" s="14" t="s">
        <v>31</v>
      </c>
      <c r="N135" s="21">
        <v>6.4</v>
      </c>
      <c r="O135" s="14" t="s">
        <v>83</v>
      </c>
      <c r="P135" s="15">
        <v>5000</v>
      </c>
      <c r="Q135" s="14">
        <v>2024</v>
      </c>
      <c r="R135" s="16">
        <v>45627</v>
      </c>
      <c r="S135" s="14" t="s">
        <v>497</v>
      </c>
    </row>
    <row r="136" spans="1:19">
      <c r="A136" t="s">
        <v>650</v>
      </c>
      <c r="B136" t="s">
        <v>85</v>
      </c>
      <c r="C136" t="s">
        <v>651</v>
      </c>
      <c r="D136" t="s">
        <v>258</v>
      </c>
      <c r="E136" t="s">
        <v>635</v>
      </c>
      <c r="F136" t="s">
        <v>25</v>
      </c>
      <c r="G136" s="7">
        <v>79900</v>
      </c>
      <c r="H136" s="14" t="s">
        <v>732</v>
      </c>
      <c r="I136" s="14" t="s">
        <v>652</v>
      </c>
      <c r="J136" s="14" t="s">
        <v>653</v>
      </c>
      <c r="K136" s="14" t="s">
        <v>92</v>
      </c>
      <c r="L136" s="14" t="s">
        <v>93</v>
      </c>
      <c r="M136" s="14" t="s">
        <v>31</v>
      </c>
      <c r="N136" s="21">
        <v>5.2</v>
      </c>
      <c r="O136" s="14" t="s">
        <v>65</v>
      </c>
      <c r="P136" s="15">
        <v>1000</v>
      </c>
      <c r="Q136" s="14">
        <v>2024</v>
      </c>
      <c r="R136" s="16">
        <v>45627</v>
      </c>
      <c r="S136" s="14" t="s">
        <v>497</v>
      </c>
    </row>
    <row r="137" spans="1:19">
      <c r="A137" t="s">
        <v>655</v>
      </c>
      <c r="B137" t="s">
        <v>96</v>
      </c>
      <c r="C137" t="s">
        <v>656</v>
      </c>
      <c r="D137" t="s">
        <v>258</v>
      </c>
      <c r="E137" t="s">
        <v>635</v>
      </c>
      <c r="F137" t="s">
        <v>25</v>
      </c>
      <c r="G137" s="7">
        <v>62900</v>
      </c>
      <c r="H137" s="14" t="s">
        <v>732</v>
      </c>
      <c r="I137" s="14" t="s">
        <v>657</v>
      </c>
      <c r="J137" s="14" t="s">
        <v>658</v>
      </c>
      <c r="K137" s="14" t="s">
        <v>99</v>
      </c>
      <c r="L137" s="14" t="s">
        <v>93</v>
      </c>
      <c r="M137" s="14" t="s">
        <v>31</v>
      </c>
      <c r="N137" s="21">
        <v>6.2</v>
      </c>
      <c r="O137" s="14" t="s">
        <v>398</v>
      </c>
      <c r="P137" s="15">
        <v>1500</v>
      </c>
      <c r="Q137" s="14">
        <v>2024</v>
      </c>
      <c r="R137" s="16">
        <v>45627</v>
      </c>
      <c r="S137" s="14" t="s">
        <v>497</v>
      </c>
    </row>
    <row r="138" spans="1:19">
      <c r="A138" t="s">
        <v>659</v>
      </c>
      <c r="B138" t="s">
        <v>109</v>
      </c>
      <c r="C138" t="s">
        <v>660</v>
      </c>
      <c r="D138" t="s">
        <v>258</v>
      </c>
      <c r="E138" t="s">
        <v>325</v>
      </c>
      <c r="F138" t="s">
        <v>103</v>
      </c>
      <c r="G138" s="7">
        <v>199900</v>
      </c>
      <c r="H138" s="14" t="s">
        <v>386</v>
      </c>
      <c r="I138" s="14" t="s">
        <v>661</v>
      </c>
      <c r="J138" s="14" t="s">
        <v>662</v>
      </c>
      <c r="K138" s="14" t="s">
        <v>114</v>
      </c>
      <c r="L138" s="14" t="s">
        <v>44</v>
      </c>
      <c r="M138" s="14" t="s">
        <v>115</v>
      </c>
      <c r="N138" s="17" t="s">
        <v>733</v>
      </c>
      <c r="O138" s="14" t="s">
        <v>65</v>
      </c>
      <c r="P138" s="15">
        <v>500</v>
      </c>
      <c r="Q138" s="14">
        <v>2024</v>
      </c>
      <c r="R138" s="16">
        <v>45627</v>
      </c>
      <c r="S138" s="14" t="s">
        <v>497</v>
      </c>
    </row>
    <row r="139" spans="1:19">
      <c r="N139" s="2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350F-9300-4743-9F4F-15581466A3A2}">
  <dimension ref="A1:E10"/>
  <sheetViews>
    <sheetView workbookViewId="0">
      <selection activeCell="I22" sqref="I22"/>
    </sheetView>
  </sheetViews>
  <sheetFormatPr defaultRowHeight="15"/>
  <cols>
    <col min="1" max="1" width="14.140625" customWidth="1"/>
    <col min="2" max="2" width="10.140625" bestFit="1" customWidth="1"/>
    <col min="3" max="3" width="14" bestFit="1" customWidth="1"/>
    <col min="4" max="4" width="16.140625" bestFit="1" customWidth="1"/>
    <col min="5" max="5" width="13.7109375" bestFit="1" customWidth="1"/>
    <col min="6" max="6" width="4.5703125" bestFit="1" customWidth="1"/>
    <col min="7" max="7" width="11.7109375" bestFit="1" customWidth="1"/>
    <col min="8" max="8" width="4.85546875" bestFit="1" customWidth="1"/>
    <col min="9" max="9" width="6" bestFit="1" customWidth="1"/>
    <col min="10" max="10" width="8.7109375" bestFit="1" customWidth="1"/>
    <col min="11" max="11" width="6.85546875" bestFit="1" customWidth="1"/>
    <col min="12" max="12" width="6.5703125" bestFit="1" customWidth="1"/>
    <col min="13" max="14" width="6" bestFit="1" customWidth="1"/>
    <col min="15" max="15" width="4.5703125" bestFit="1" customWidth="1"/>
    <col min="16" max="16" width="8.7109375" bestFit="1" customWidth="1"/>
    <col min="17" max="17" width="6.85546875" bestFit="1" customWidth="1"/>
    <col min="18" max="18" width="6.5703125" bestFit="1" customWidth="1"/>
    <col min="19" max="19" width="4.85546875" bestFit="1" customWidth="1"/>
    <col min="20" max="20" width="6" bestFit="1" customWidth="1"/>
    <col min="21" max="21" width="8.7109375" bestFit="1" customWidth="1"/>
    <col min="22" max="22" width="11.7109375" bestFit="1" customWidth="1"/>
    <col min="23" max="23" width="12.5703125" bestFit="1" customWidth="1"/>
    <col min="24" max="24" width="9.140625" bestFit="1" customWidth="1"/>
    <col min="25" max="25" width="12.28515625" bestFit="1" customWidth="1"/>
    <col min="26" max="26" width="11.7109375" bestFit="1" customWidth="1"/>
    <col min="27" max="27" width="11.85546875" bestFit="1" customWidth="1"/>
    <col min="28" max="28" width="9.28515625" bestFit="1" customWidth="1"/>
    <col min="29" max="29" width="12.140625" bestFit="1" customWidth="1"/>
    <col min="30" max="30" width="9.5703125" bestFit="1" customWidth="1"/>
    <col min="31" max="31" width="12.7109375" bestFit="1" customWidth="1"/>
    <col min="32" max="32" width="9.28515625" bestFit="1" customWidth="1"/>
    <col min="33" max="33" width="12.140625" bestFit="1" customWidth="1"/>
    <col min="34" max="34" width="9.7109375" bestFit="1" customWidth="1"/>
    <col min="35" max="35" width="13" bestFit="1" customWidth="1"/>
    <col min="36" max="36" width="9.28515625" bestFit="1" customWidth="1"/>
    <col min="37" max="37" width="12" bestFit="1" customWidth="1"/>
    <col min="38" max="38" width="9.28515625" bestFit="1" customWidth="1"/>
    <col min="39" max="39" width="11.42578125" bestFit="1" customWidth="1"/>
    <col min="40" max="40" width="9.28515625" bestFit="1" customWidth="1"/>
    <col min="41" max="41" width="12.42578125" bestFit="1" customWidth="1"/>
    <col min="42" max="42" width="9.28515625" bestFit="1" customWidth="1"/>
    <col min="43" max="43" width="12.28515625" bestFit="1" customWidth="1"/>
    <col min="44" max="44" width="9.28515625" bestFit="1" customWidth="1"/>
    <col min="45" max="45" width="12.140625" bestFit="1" customWidth="1"/>
    <col min="46" max="46" width="9.42578125" bestFit="1" customWidth="1"/>
    <col min="47" max="47" width="12.5703125" bestFit="1" customWidth="1"/>
    <col min="48" max="48" width="9.28515625" bestFit="1" customWidth="1"/>
    <col min="49" max="49" width="12.28515625" bestFit="1" customWidth="1"/>
    <col min="50" max="50" width="17.85546875" bestFit="1" customWidth="1"/>
    <col min="51" max="52" width="22.42578125" bestFit="1" customWidth="1"/>
  </cols>
  <sheetData>
    <row r="1" spans="1:5">
      <c r="A1" t="s">
        <v>735</v>
      </c>
    </row>
    <row r="2" spans="1:5">
      <c r="A2" t="s">
        <v>736</v>
      </c>
    </row>
    <row r="4" spans="1:5">
      <c r="A4" s="10" t="s">
        <v>737</v>
      </c>
      <c r="B4" t="s">
        <v>738</v>
      </c>
      <c r="C4" t="s">
        <v>739</v>
      </c>
      <c r="D4" t="s">
        <v>740</v>
      </c>
      <c r="E4" t="s">
        <v>741</v>
      </c>
    </row>
    <row r="5" spans="1:5">
      <c r="A5" t="s">
        <v>68</v>
      </c>
      <c r="B5" s="11">
        <v>62</v>
      </c>
      <c r="C5" s="7">
        <v>2433600</v>
      </c>
      <c r="D5" s="12">
        <v>0.39237677199162491</v>
      </c>
      <c r="E5" s="7">
        <v>39251.612903225803</v>
      </c>
    </row>
    <row r="6" spans="1:5">
      <c r="A6" t="s">
        <v>23</v>
      </c>
      <c r="B6" s="11">
        <v>40</v>
      </c>
      <c r="C6" s="7">
        <v>1601400</v>
      </c>
      <c r="D6" s="12">
        <v>0.25819862042545533</v>
      </c>
      <c r="E6" s="7">
        <v>40035</v>
      </c>
    </row>
    <row r="7" spans="1:5">
      <c r="A7" t="s">
        <v>258</v>
      </c>
      <c r="B7" s="11">
        <v>17</v>
      </c>
      <c r="C7" s="7">
        <v>1314901</v>
      </c>
      <c r="D7" s="12">
        <v>0.21200551030101888</v>
      </c>
      <c r="E7" s="7">
        <v>77347.117647058825</v>
      </c>
    </row>
    <row r="8" spans="1:5">
      <c r="A8" t="s">
        <v>87</v>
      </c>
      <c r="B8" s="11">
        <v>12</v>
      </c>
      <c r="C8" s="7">
        <v>652800</v>
      </c>
      <c r="D8" s="12">
        <v>0.1052529408103767</v>
      </c>
      <c r="E8" s="7">
        <v>54400</v>
      </c>
    </row>
    <row r="9" spans="1:5">
      <c r="A9" t="s">
        <v>361</v>
      </c>
      <c r="B9" s="11">
        <v>6</v>
      </c>
      <c r="C9" s="7">
        <v>199501</v>
      </c>
      <c r="D9" s="12">
        <v>3.2166156471524147E-2</v>
      </c>
      <c r="E9" s="7">
        <v>33250.166666666664</v>
      </c>
    </row>
    <row r="10" spans="1:5">
      <c r="A10" t="s">
        <v>742</v>
      </c>
      <c r="B10" s="11">
        <v>137</v>
      </c>
      <c r="C10" s="7">
        <v>6202202</v>
      </c>
      <c r="D10" s="12">
        <v>1</v>
      </c>
      <c r="E10" s="7">
        <v>45271.547445255477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E310-3DAD-4458-B3C6-A53A051ABB0A}">
  <dimension ref="A1:M46"/>
  <sheetViews>
    <sheetView workbookViewId="0">
      <selection activeCell="E25" sqref="A20:E25"/>
    </sheetView>
  </sheetViews>
  <sheetFormatPr defaultRowHeight="15"/>
  <cols>
    <col min="1" max="1" width="11.7109375" bestFit="1" customWidth="1"/>
    <col min="2" max="2" width="10.140625" customWidth="1"/>
    <col min="3" max="3" width="14" bestFit="1" customWidth="1"/>
    <col min="4" max="4" width="16.140625" bestFit="1" customWidth="1"/>
    <col min="5" max="5" width="13.7109375" bestFit="1" customWidth="1"/>
    <col min="8" max="8" width="10.28515625" bestFit="1" customWidth="1"/>
    <col min="9" max="9" width="10.140625" bestFit="1" customWidth="1"/>
    <col min="10" max="10" width="14" bestFit="1" customWidth="1"/>
    <col min="11" max="11" width="16.140625" bestFit="1" customWidth="1"/>
    <col min="12" max="12" width="13.7109375" bestFit="1" customWidth="1"/>
    <col min="13" max="13" width="13.7109375" customWidth="1"/>
    <col min="14" max="14" width="11.7109375" bestFit="1" customWidth="1"/>
    <col min="15" max="15" width="10.28515625" bestFit="1" customWidth="1"/>
    <col min="16" max="16" width="10.140625" bestFit="1" customWidth="1"/>
    <col min="17" max="17" width="14" bestFit="1" customWidth="1"/>
    <col min="18" max="18" width="16.140625" bestFit="1" customWidth="1"/>
    <col min="19" max="19" width="13.7109375" bestFit="1" customWidth="1"/>
  </cols>
  <sheetData>
    <row r="1" spans="1:13">
      <c r="A1" t="s">
        <v>743</v>
      </c>
    </row>
    <row r="2" spans="1:13">
      <c r="A2" t="s">
        <v>744</v>
      </c>
    </row>
    <row r="4" spans="1:13">
      <c r="A4" s="10" t="s">
        <v>745</v>
      </c>
      <c r="B4" t="s">
        <v>738</v>
      </c>
      <c r="C4" t="s">
        <v>739</v>
      </c>
      <c r="D4" t="s">
        <v>740</v>
      </c>
      <c r="E4" t="s">
        <v>741</v>
      </c>
    </row>
    <row r="5" spans="1:13">
      <c r="A5" s="8">
        <v>45292</v>
      </c>
      <c r="B5" s="11">
        <v>2</v>
      </c>
      <c r="C5" s="7">
        <v>49000</v>
      </c>
      <c r="D5" s="13">
        <v>7.9004198831318304E-3</v>
      </c>
      <c r="E5" s="7">
        <v>24500</v>
      </c>
      <c r="M5" s="7"/>
    </row>
    <row r="6" spans="1:13">
      <c r="A6" s="8">
        <v>45323</v>
      </c>
      <c r="B6" s="11">
        <v>6</v>
      </c>
      <c r="C6" s="7">
        <v>185600</v>
      </c>
      <c r="D6" s="13">
        <v>2.9924855720597297E-2</v>
      </c>
      <c r="E6" s="7">
        <v>30933.333333333332</v>
      </c>
      <c r="M6" s="7"/>
    </row>
    <row r="7" spans="1:13">
      <c r="A7" s="8">
        <v>45352</v>
      </c>
      <c r="B7" s="11">
        <v>9</v>
      </c>
      <c r="C7" s="7">
        <v>367700</v>
      </c>
      <c r="D7" s="13">
        <v>5.928539573525661E-2</v>
      </c>
      <c r="E7" s="7">
        <v>40855.555555555555</v>
      </c>
      <c r="M7" s="7"/>
    </row>
    <row r="8" spans="1:13">
      <c r="A8" s="8">
        <v>45383</v>
      </c>
      <c r="B8" s="11">
        <v>10</v>
      </c>
      <c r="C8" s="7">
        <v>358500</v>
      </c>
      <c r="D8" s="13">
        <v>5.7802051593933895E-2</v>
      </c>
      <c r="E8" s="7">
        <v>35850</v>
      </c>
      <c r="M8" s="7"/>
    </row>
    <row r="9" spans="1:13">
      <c r="A9" s="8">
        <v>45413</v>
      </c>
      <c r="B9" s="11">
        <v>12</v>
      </c>
      <c r="C9" s="7">
        <v>506300</v>
      </c>
      <c r="D9" s="13">
        <v>8.1632297690400923E-2</v>
      </c>
      <c r="E9" s="7">
        <v>42191.666666666664</v>
      </c>
      <c r="M9" s="7"/>
    </row>
    <row r="10" spans="1:13">
      <c r="A10" s="8">
        <v>45444</v>
      </c>
      <c r="B10" s="11">
        <v>13</v>
      </c>
      <c r="C10" s="7">
        <v>543801</v>
      </c>
      <c r="D10" s="13">
        <v>8.7678698629938212E-2</v>
      </c>
      <c r="E10" s="7">
        <v>41830.846153846156</v>
      </c>
      <c r="M10" s="7"/>
    </row>
    <row r="11" spans="1:13">
      <c r="A11" s="8">
        <v>45474</v>
      </c>
      <c r="B11" s="11">
        <v>14</v>
      </c>
      <c r="C11" s="7">
        <v>776500</v>
      </c>
      <c r="D11" s="13">
        <v>0.12519747018881358</v>
      </c>
      <c r="E11" s="7">
        <v>55464.285714285717</v>
      </c>
      <c r="M11" s="7"/>
    </row>
    <row r="12" spans="1:13">
      <c r="A12" s="8">
        <v>45505</v>
      </c>
      <c r="B12" s="11">
        <v>16</v>
      </c>
      <c r="C12" s="7">
        <v>668701</v>
      </c>
      <c r="D12" s="13">
        <v>0.1078167076789824</v>
      </c>
      <c r="E12" s="7">
        <v>41793.8125</v>
      </c>
      <c r="M12" s="7"/>
    </row>
    <row r="13" spans="1:13">
      <c r="A13" s="8">
        <v>45536</v>
      </c>
      <c r="B13" s="11">
        <v>15</v>
      </c>
      <c r="C13" s="7">
        <v>564800</v>
      </c>
      <c r="D13" s="13">
        <v>9.1064431632507298E-2</v>
      </c>
      <c r="E13" s="7">
        <v>37653.333333333336</v>
      </c>
      <c r="M13" s="7"/>
    </row>
    <row r="14" spans="1:13">
      <c r="A14" s="8">
        <v>45566</v>
      </c>
      <c r="B14" s="11">
        <v>15</v>
      </c>
      <c r="C14" s="7">
        <v>522600</v>
      </c>
      <c r="D14" s="13">
        <v>8.4260396549483557E-2</v>
      </c>
      <c r="E14" s="7">
        <v>34840</v>
      </c>
      <c r="M14" s="7"/>
    </row>
    <row r="15" spans="1:13">
      <c r="A15" s="8">
        <v>45597</v>
      </c>
      <c r="B15" s="11">
        <v>15</v>
      </c>
      <c r="C15" s="7">
        <v>763700</v>
      </c>
      <c r="D15" s="13">
        <v>0.12313368703566895</v>
      </c>
      <c r="E15" s="7">
        <v>50913.333333333336</v>
      </c>
      <c r="M15" s="7"/>
    </row>
    <row r="16" spans="1:13">
      <c r="A16" s="8">
        <v>45627</v>
      </c>
      <c r="B16" s="11">
        <v>10</v>
      </c>
      <c r="C16" s="7">
        <v>895000</v>
      </c>
      <c r="D16" s="13">
        <v>0.14430358766128545</v>
      </c>
      <c r="E16" s="7">
        <v>89500</v>
      </c>
      <c r="M16" s="7"/>
    </row>
    <row r="17" spans="1:13">
      <c r="A17" s="8" t="s">
        <v>742</v>
      </c>
      <c r="B17" s="11">
        <v>137</v>
      </c>
      <c r="C17" s="7">
        <v>6202202</v>
      </c>
      <c r="D17" s="13">
        <v>1</v>
      </c>
      <c r="E17" s="7">
        <v>45271.547445255477</v>
      </c>
      <c r="M17" s="7"/>
    </row>
    <row r="18" spans="1:13">
      <c r="M18" s="7"/>
    </row>
    <row r="19" spans="1:13">
      <c r="M19" s="7"/>
    </row>
    <row r="20" spans="1:13">
      <c r="A20" s="10" t="s">
        <v>19</v>
      </c>
      <c r="B20" t="s">
        <v>738</v>
      </c>
      <c r="C20" t="s">
        <v>739</v>
      </c>
      <c r="D20" t="s">
        <v>740</v>
      </c>
      <c r="E20" t="s">
        <v>741</v>
      </c>
      <c r="M20" s="7"/>
    </row>
    <row r="21" spans="1:13">
      <c r="A21" t="s">
        <v>35</v>
      </c>
      <c r="B21" s="11">
        <v>17</v>
      </c>
      <c r="C21" s="7">
        <v>602300</v>
      </c>
      <c r="D21" s="13">
        <v>9.7110671338985738E-2</v>
      </c>
      <c r="E21" s="7">
        <v>35429.411764705881</v>
      </c>
      <c r="M21" s="7"/>
    </row>
    <row r="22" spans="1:13">
      <c r="A22" t="s">
        <v>147</v>
      </c>
      <c r="B22" s="11">
        <v>35</v>
      </c>
      <c r="C22" s="7">
        <v>1408601</v>
      </c>
      <c r="D22" s="13">
        <v>0.22711304791427303</v>
      </c>
      <c r="E22" s="7">
        <v>40245.742857142854</v>
      </c>
      <c r="M22" s="7"/>
    </row>
    <row r="23" spans="1:13">
      <c r="A23" t="s">
        <v>301</v>
      </c>
      <c r="B23" s="11">
        <v>45</v>
      </c>
      <c r="C23" s="7">
        <v>2010001</v>
      </c>
      <c r="D23" s="13">
        <v>0.32407860950030326</v>
      </c>
      <c r="E23" s="7">
        <v>44666.688888888886</v>
      </c>
      <c r="M23" s="7"/>
    </row>
    <row r="24" spans="1:13">
      <c r="A24" t="s">
        <v>497</v>
      </c>
      <c r="B24" s="11">
        <v>40</v>
      </c>
      <c r="C24" s="7">
        <v>2181300</v>
      </c>
      <c r="D24" s="13">
        <v>0.35169767124643797</v>
      </c>
      <c r="E24" s="7">
        <v>54532.5</v>
      </c>
      <c r="M24" s="7"/>
    </row>
    <row r="25" spans="1:13">
      <c r="A25" t="s">
        <v>742</v>
      </c>
      <c r="B25" s="11">
        <v>137</v>
      </c>
      <c r="C25" s="7">
        <v>6202202</v>
      </c>
      <c r="D25" s="13">
        <v>1</v>
      </c>
      <c r="E25" s="7">
        <v>45271.547445255477</v>
      </c>
      <c r="M25" s="7"/>
    </row>
    <row r="26" spans="1:13">
      <c r="M26" s="7"/>
    </row>
    <row r="27" spans="1:13">
      <c r="M27" s="7"/>
    </row>
    <row r="28" spans="1:13">
      <c r="M28" s="7"/>
    </row>
    <row r="29" spans="1:13">
      <c r="M29" s="7"/>
    </row>
    <row r="30" spans="1:13">
      <c r="M30" s="7"/>
    </row>
    <row r="31" spans="1:13">
      <c r="M31" s="7"/>
    </row>
    <row r="32" spans="1:13">
      <c r="M32" s="7"/>
    </row>
    <row r="33" spans="13:13">
      <c r="M33" s="7"/>
    </row>
    <row r="34" spans="13:13">
      <c r="M34" s="7"/>
    </row>
    <row r="35" spans="13:13">
      <c r="M35" s="7"/>
    </row>
    <row r="36" spans="13:13">
      <c r="M36" s="7"/>
    </row>
    <row r="37" spans="13:13">
      <c r="M37" s="7"/>
    </row>
    <row r="38" spans="13:13">
      <c r="M38" s="7"/>
    </row>
    <row r="39" spans="13:13">
      <c r="M39" s="7"/>
    </row>
    <row r="40" spans="13:13">
      <c r="M40" s="7"/>
    </row>
    <row r="41" spans="13:13">
      <c r="M41" s="7"/>
    </row>
    <row r="42" spans="13:13">
      <c r="M42" s="7"/>
    </row>
    <row r="43" spans="13:13">
      <c r="M43" s="7"/>
    </row>
    <row r="44" spans="13:13">
      <c r="M44" s="7"/>
    </row>
    <row r="45" spans="13:13">
      <c r="M45" s="7"/>
    </row>
    <row r="46" spans="13:13">
      <c r="M4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45B4-6C92-4A35-9A99-9A44509B1F42}">
  <dimension ref="A1:M46"/>
  <sheetViews>
    <sheetView topLeftCell="E1" workbookViewId="0">
      <selection activeCell="H11" sqref="H11"/>
    </sheetView>
  </sheetViews>
  <sheetFormatPr defaultRowHeight="15"/>
  <cols>
    <col min="2" max="2" width="10.28515625" bestFit="1" customWidth="1"/>
    <col min="3" max="3" width="10.140625" bestFit="1" customWidth="1"/>
    <col min="4" max="4" width="14" bestFit="1" customWidth="1"/>
    <col min="5" max="5" width="16.140625" bestFit="1" customWidth="1"/>
    <col min="6" max="6" width="13.7109375" bestFit="1" customWidth="1"/>
    <col min="9" max="9" width="11.28515625" bestFit="1" customWidth="1"/>
    <col min="10" max="10" width="10.140625" bestFit="1" customWidth="1"/>
    <col min="11" max="11" width="14" bestFit="1" customWidth="1"/>
    <col min="12" max="12" width="16.140625" bestFit="1" customWidth="1"/>
    <col min="13" max="13" width="13.7109375" bestFit="1" customWidth="1"/>
  </cols>
  <sheetData>
    <row r="1" spans="1:13">
      <c r="A1" t="s">
        <v>746</v>
      </c>
    </row>
    <row r="2" spans="1:13">
      <c r="A2" t="s">
        <v>747</v>
      </c>
    </row>
    <row r="4" spans="1:13">
      <c r="A4" s="10" t="s">
        <v>737</v>
      </c>
      <c r="B4" s="10" t="s">
        <v>745</v>
      </c>
      <c r="C4" t="s">
        <v>738</v>
      </c>
      <c r="D4" t="s">
        <v>739</v>
      </c>
      <c r="E4" t="s">
        <v>740</v>
      </c>
      <c r="F4" t="s">
        <v>741</v>
      </c>
      <c r="H4" s="10" t="s">
        <v>737</v>
      </c>
      <c r="I4" s="10" t="s">
        <v>19</v>
      </c>
      <c r="J4" t="s">
        <v>738</v>
      </c>
      <c r="K4" t="s">
        <v>739</v>
      </c>
      <c r="L4" t="s">
        <v>740</v>
      </c>
      <c r="M4" t="s">
        <v>741</v>
      </c>
    </row>
    <row r="5" spans="1:13">
      <c r="A5" t="s">
        <v>258</v>
      </c>
      <c r="B5" s="8">
        <v>45444</v>
      </c>
      <c r="C5" s="11">
        <v>3</v>
      </c>
      <c r="D5" s="7">
        <v>121701</v>
      </c>
      <c r="E5" s="13">
        <v>1.9622224493816873E-2</v>
      </c>
      <c r="F5" s="7">
        <v>40567</v>
      </c>
      <c r="H5" t="s">
        <v>258</v>
      </c>
      <c r="I5" t="s">
        <v>147</v>
      </c>
      <c r="J5" s="11">
        <v>3</v>
      </c>
      <c r="K5" s="7">
        <v>121701</v>
      </c>
      <c r="L5" s="13">
        <v>1.9622224493816873E-2</v>
      </c>
      <c r="M5" s="7">
        <v>40567</v>
      </c>
    </row>
    <row r="6" spans="1:13">
      <c r="B6" s="8">
        <v>45474</v>
      </c>
      <c r="C6" s="11">
        <v>2</v>
      </c>
      <c r="D6" s="7">
        <v>229800</v>
      </c>
      <c r="E6" s="13">
        <v>3.7051356921299884E-2</v>
      </c>
      <c r="F6" s="7">
        <v>114900</v>
      </c>
      <c r="I6" t="s">
        <v>301</v>
      </c>
      <c r="J6" s="11">
        <v>4</v>
      </c>
      <c r="K6" s="7">
        <v>403600</v>
      </c>
      <c r="L6" s="13">
        <v>6.5073662547591962E-2</v>
      </c>
      <c r="M6" s="7">
        <v>100900</v>
      </c>
    </row>
    <row r="7" spans="1:13">
      <c r="B7" s="8">
        <v>45536</v>
      </c>
      <c r="C7" s="11">
        <v>2</v>
      </c>
      <c r="D7" s="7">
        <v>173800</v>
      </c>
      <c r="E7" s="13">
        <v>2.8022305626292082E-2</v>
      </c>
      <c r="F7" s="7">
        <v>86900</v>
      </c>
      <c r="I7" t="s">
        <v>497</v>
      </c>
      <c r="J7" s="11">
        <v>10</v>
      </c>
      <c r="K7" s="7">
        <v>789600</v>
      </c>
      <c r="L7" s="13">
        <v>0.12730962325961007</v>
      </c>
      <c r="M7" s="7">
        <v>78960</v>
      </c>
    </row>
    <row r="8" spans="1:13">
      <c r="B8" s="8">
        <v>45597</v>
      </c>
      <c r="C8" s="11">
        <v>4</v>
      </c>
      <c r="D8" s="7">
        <v>172200</v>
      </c>
      <c r="E8" s="13">
        <v>2.7764332732149E-2</v>
      </c>
      <c r="F8" s="7">
        <v>43050</v>
      </c>
      <c r="H8" t="s">
        <v>748</v>
      </c>
      <c r="J8" s="11">
        <v>17</v>
      </c>
      <c r="K8" s="7">
        <v>1314901</v>
      </c>
      <c r="L8" s="13">
        <v>0.21200551030101888</v>
      </c>
      <c r="M8" s="7">
        <v>77347.117647058825</v>
      </c>
    </row>
    <row r="9" spans="1:13">
      <c r="B9" s="8">
        <v>45627</v>
      </c>
      <c r="C9" s="11">
        <v>6</v>
      </c>
      <c r="D9" s="7">
        <v>617400</v>
      </c>
      <c r="E9" s="13">
        <v>9.9545290527461056E-2</v>
      </c>
      <c r="F9" s="7">
        <v>102900</v>
      </c>
      <c r="H9" t="s">
        <v>23</v>
      </c>
      <c r="I9" t="s">
        <v>35</v>
      </c>
      <c r="J9" s="11">
        <v>10</v>
      </c>
      <c r="K9" s="7">
        <v>324500</v>
      </c>
      <c r="L9" s="13">
        <v>5.2320127593393446E-2</v>
      </c>
      <c r="M9" s="7">
        <v>32450</v>
      </c>
    </row>
    <row r="10" spans="1:13">
      <c r="A10" t="s">
        <v>748</v>
      </c>
      <c r="C10" s="11">
        <v>17</v>
      </c>
      <c r="D10" s="7">
        <v>1314901</v>
      </c>
      <c r="E10" s="13">
        <v>0.21200551030101888</v>
      </c>
      <c r="F10" s="7">
        <v>77347.117647058825</v>
      </c>
      <c r="I10" t="s">
        <v>147</v>
      </c>
      <c r="J10" s="11">
        <v>8</v>
      </c>
      <c r="K10" s="7">
        <v>279800</v>
      </c>
      <c r="L10" s="13">
        <v>4.5113009863271145E-2</v>
      </c>
      <c r="M10" s="7">
        <v>34975</v>
      </c>
    </row>
    <row r="11" spans="1:13">
      <c r="A11" t="s">
        <v>23</v>
      </c>
      <c r="B11" s="8">
        <v>45292</v>
      </c>
      <c r="C11" s="11">
        <v>2</v>
      </c>
      <c r="D11" s="7">
        <v>49000</v>
      </c>
      <c r="E11" s="13">
        <v>7.9004198831318304E-3</v>
      </c>
      <c r="F11" s="7">
        <v>24500</v>
      </c>
      <c r="I11" t="s">
        <v>301</v>
      </c>
      <c r="J11" s="11">
        <v>11</v>
      </c>
      <c r="K11" s="7">
        <v>399500</v>
      </c>
      <c r="L11" s="13">
        <v>6.441260700635032E-2</v>
      </c>
      <c r="M11" s="7">
        <v>36318.181818181816</v>
      </c>
    </row>
    <row r="12" spans="1:13">
      <c r="B12" s="8">
        <v>45323</v>
      </c>
      <c r="C12" s="11">
        <v>3</v>
      </c>
      <c r="D12" s="7">
        <v>75200</v>
      </c>
      <c r="E12" s="13">
        <v>1.2124726024724768E-2</v>
      </c>
      <c r="F12" s="7">
        <v>25066.666666666668</v>
      </c>
      <c r="I12" t="s">
        <v>497</v>
      </c>
      <c r="J12" s="11">
        <v>11</v>
      </c>
      <c r="K12" s="7">
        <v>597600</v>
      </c>
      <c r="L12" s="13">
        <v>9.6352875962440437E-2</v>
      </c>
      <c r="M12" s="7">
        <v>54327.272727272728</v>
      </c>
    </row>
    <row r="13" spans="1:13">
      <c r="B13" s="8">
        <v>45352</v>
      </c>
      <c r="C13" s="11">
        <v>5</v>
      </c>
      <c r="D13" s="7">
        <v>200300</v>
      </c>
      <c r="E13" s="13">
        <v>3.229498168553685E-2</v>
      </c>
      <c r="F13" s="7">
        <v>40060</v>
      </c>
      <c r="H13" t="s">
        <v>749</v>
      </c>
      <c r="J13" s="11">
        <v>40</v>
      </c>
      <c r="K13" s="7">
        <v>1601400</v>
      </c>
      <c r="L13" s="13">
        <v>0.25819862042545533</v>
      </c>
      <c r="M13" s="7">
        <v>40035</v>
      </c>
    </row>
    <row r="14" spans="1:13">
      <c r="B14" s="8">
        <v>45383</v>
      </c>
      <c r="C14" s="11">
        <v>5</v>
      </c>
      <c r="D14" s="7">
        <v>161500</v>
      </c>
      <c r="E14" s="13">
        <v>2.6039139002567154E-2</v>
      </c>
      <c r="F14" s="7">
        <v>32300</v>
      </c>
      <c r="H14" t="s">
        <v>68</v>
      </c>
      <c r="I14" t="s">
        <v>35</v>
      </c>
      <c r="J14" s="11">
        <v>5</v>
      </c>
      <c r="K14" s="7">
        <v>191300</v>
      </c>
      <c r="L14" s="13">
        <v>3.0843884155982021E-2</v>
      </c>
      <c r="M14" s="7">
        <v>38260</v>
      </c>
    </row>
    <row r="15" spans="1:13">
      <c r="B15" s="8">
        <v>45413</v>
      </c>
      <c r="C15" s="11">
        <v>2</v>
      </c>
      <c r="D15" s="7">
        <v>69400</v>
      </c>
      <c r="E15" s="13">
        <v>1.1189574283456101E-2</v>
      </c>
      <c r="F15" s="7">
        <v>34700</v>
      </c>
      <c r="I15" t="s">
        <v>147</v>
      </c>
      <c r="J15" s="11">
        <v>18</v>
      </c>
      <c r="K15" s="7">
        <v>745000</v>
      </c>
      <c r="L15" s="13">
        <v>0.12011862883537169</v>
      </c>
      <c r="M15" s="7">
        <v>41388.888888888891</v>
      </c>
    </row>
    <row r="16" spans="1:13">
      <c r="B16" s="8">
        <v>45444</v>
      </c>
      <c r="C16" s="11">
        <v>1</v>
      </c>
      <c r="D16" s="7">
        <v>48900</v>
      </c>
      <c r="E16" s="13">
        <v>7.8842965772478873E-3</v>
      </c>
      <c r="F16" s="7">
        <v>48900</v>
      </c>
      <c r="I16" t="s">
        <v>301</v>
      </c>
      <c r="J16" s="11">
        <v>22</v>
      </c>
      <c r="K16" s="7">
        <v>784000</v>
      </c>
      <c r="L16" s="13">
        <v>0.12640671813010929</v>
      </c>
      <c r="M16" s="7">
        <v>35636.36363636364</v>
      </c>
    </row>
    <row r="17" spans="1:13">
      <c r="B17" s="8">
        <v>45474</v>
      </c>
      <c r="C17" s="11">
        <v>5</v>
      </c>
      <c r="D17" s="7">
        <v>212000</v>
      </c>
      <c r="E17" s="13">
        <v>3.4181408473958119E-2</v>
      </c>
      <c r="F17" s="7">
        <v>42400</v>
      </c>
      <c r="I17" t="s">
        <v>497</v>
      </c>
      <c r="J17" s="11">
        <v>17</v>
      </c>
      <c r="K17" s="7">
        <v>713300</v>
      </c>
      <c r="L17" s="13">
        <v>0.11500754087016192</v>
      </c>
      <c r="M17" s="7">
        <v>41958.823529411762</v>
      </c>
    </row>
    <row r="18" spans="1:13">
      <c r="B18" s="8">
        <v>45505</v>
      </c>
      <c r="C18" s="11">
        <v>1</v>
      </c>
      <c r="D18" s="7">
        <v>39900</v>
      </c>
      <c r="E18" s="13">
        <v>6.433199047693061E-3</v>
      </c>
      <c r="F18" s="7">
        <v>39900</v>
      </c>
      <c r="H18" t="s">
        <v>750</v>
      </c>
      <c r="J18" s="11">
        <v>62</v>
      </c>
      <c r="K18" s="7">
        <v>2433600</v>
      </c>
      <c r="L18" s="13">
        <v>0.39237677199162491</v>
      </c>
      <c r="M18" s="7">
        <v>39251.612903225803</v>
      </c>
    </row>
    <row r="19" spans="1:13">
      <c r="B19" s="8">
        <v>45536</v>
      </c>
      <c r="C19" s="11">
        <v>5</v>
      </c>
      <c r="D19" s="7">
        <v>147600</v>
      </c>
      <c r="E19" s="13">
        <v>2.3797999484699146E-2</v>
      </c>
      <c r="F19" s="7">
        <v>29520</v>
      </c>
      <c r="H19" t="s">
        <v>87</v>
      </c>
      <c r="I19" t="s">
        <v>35</v>
      </c>
      <c r="J19" s="11">
        <v>2</v>
      </c>
      <c r="K19" s="7">
        <v>86500</v>
      </c>
      <c r="L19" s="13">
        <v>1.394665958961027E-2</v>
      </c>
      <c r="M19" s="7">
        <v>43250</v>
      </c>
    </row>
    <row r="20" spans="1:13">
      <c r="B20" s="8">
        <v>45566</v>
      </c>
      <c r="C20" s="11">
        <v>6</v>
      </c>
      <c r="D20" s="7">
        <v>245500</v>
      </c>
      <c r="E20" s="13">
        <v>3.958271594507886E-2</v>
      </c>
      <c r="F20" s="7">
        <v>40916.666666666664</v>
      </c>
      <c r="I20" t="s">
        <v>147</v>
      </c>
      <c r="J20" s="11">
        <v>6</v>
      </c>
      <c r="K20" s="7">
        <v>262100</v>
      </c>
      <c r="L20" s="13">
        <v>4.2259184721813316E-2</v>
      </c>
      <c r="M20" s="7">
        <v>43683.333333333336</v>
      </c>
    </row>
    <row r="21" spans="1:13">
      <c r="B21" s="8">
        <v>45597</v>
      </c>
      <c r="C21" s="11">
        <v>2</v>
      </c>
      <c r="D21" s="7">
        <v>164400</v>
      </c>
      <c r="E21" s="13">
        <v>2.6506714873201484E-2</v>
      </c>
      <c r="F21" s="7">
        <v>82200</v>
      </c>
      <c r="I21" t="s">
        <v>301</v>
      </c>
      <c r="J21" s="11">
        <v>2</v>
      </c>
      <c r="K21" s="7">
        <v>223400</v>
      </c>
      <c r="L21" s="13">
        <v>3.6019465344727566E-2</v>
      </c>
      <c r="M21" s="7">
        <v>111700</v>
      </c>
    </row>
    <row r="22" spans="1:13">
      <c r="B22" s="8">
        <v>45627</v>
      </c>
      <c r="C22" s="11">
        <v>3</v>
      </c>
      <c r="D22" s="7">
        <v>187700</v>
      </c>
      <c r="E22" s="13">
        <v>3.026344514416009E-2</v>
      </c>
      <c r="F22" s="7">
        <v>62566.666666666664</v>
      </c>
      <c r="I22" t="s">
        <v>497</v>
      </c>
      <c r="J22" s="11">
        <v>2</v>
      </c>
      <c r="K22" s="7">
        <v>80800</v>
      </c>
      <c r="L22" s="13">
        <v>1.3027631154225547E-2</v>
      </c>
      <c r="M22" s="7">
        <v>40400</v>
      </c>
    </row>
    <row r="23" spans="1:13">
      <c r="A23" t="s">
        <v>749</v>
      </c>
      <c r="C23" s="11">
        <v>40</v>
      </c>
      <c r="D23" s="7">
        <v>1601400</v>
      </c>
      <c r="E23" s="13">
        <v>0.25819862042545533</v>
      </c>
      <c r="F23" s="7">
        <v>40035</v>
      </c>
      <c r="H23" t="s">
        <v>751</v>
      </c>
      <c r="J23" s="11">
        <v>12</v>
      </c>
      <c r="K23" s="7">
        <v>652800</v>
      </c>
      <c r="L23" s="13">
        <v>0.1052529408103767</v>
      </c>
      <c r="M23" s="7">
        <v>54400</v>
      </c>
    </row>
    <row r="24" spans="1:13">
      <c r="A24" t="s">
        <v>68</v>
      </c>
      <c r="B24" s="8">
        <v>45323</v>
      </c>
      <c r="C24" s="11">
        <v>2</v>
      </c>
      <c r="D24" s="7">
        <v>68400</v>
      </c>
      <c r="E24" s="13">
        <v>1.1028341224616676E-2</v>
      </c>
      <c r="F24" s="7">
        <v>34200</v>
      </c>
      <c r="H24" t="s">
        <v>361</v>
      </c>
      <c r="I24" t="s">
        <v>301</v>
      </c>
      <c r="J24" s="11">
        <v>6</v>
      </c>
      <c r="K24" s="7">
        <v>199501</v>
      </c>
      <c r="L24" s="13">
        <v>3.2166156471524147E-2</v>
      </c>
      <c r="M24" s="7">
        <v>33250.166666666664</v>
      </c>
    </row>
    <row r="25" spans="1:13">
      <c r="B25" s="8">
        <v>45352</v>
      </c>
      <c r="C25" s="11">
        <v>3</v>
      </c>
      <c r="D25" s="7">
        <v>122900</v>
      </c>
      <c r="E25" s="13">
        <v>1.9815542931365344E-2</v>
      </c>
      <c r="F25" s="7">
        <v>40966.666666666664</v>
      </c>
      <c r="H25" t="s">
        <v>752</v>
      </c>
      <c r="J25" s="11">
        <v>6</v>
      </c>
      <c r="K25" s="7">
        <v>199501</v>
      </c>
      <c r="L25" s="13">
        <v>3.2166156471524147E-2</v>
      </c>
      <c r="M25" s="7">
        <v>33250.166666666664</v>
      </c>
    </row>
    <row r="26" spans="1:13">
      <c r="B26" s="8">
        <v>45383</v>
      </c>
      <c r="C26" s="11">
        <v>5</v>
      </c>
      <c r="D26" s="7">
        <v>197000</v>
      </c>
      <c r="E26" s="13">
        <v>3.1762912591366745E-2</v>
      </c>
      <c r="F26" s="7">
        <v>39400</v>
      </c>
      <c r="H26" t="s">
        <v>742</v>
      </c>
      <c r="J26" s="11">
        <v>137</v>
      </c>
      <c r="K26" s="7">
        <v>6202202</v>
      </c>
      <c r="L26" s="13">
        <v>1</v>
      </c>
      <c r="M26" s="7">
        <v>45271.547445255477</v>
      </c>
    </row>
    <row r="27" spans="1:13">
      <c r="B27" s="8">
        <v>45413</v>
      </c>
      <c r="C27" s="11">
        <v>10</v>
      </c>
      <c r="D27" s="7">
        <v>436900</v>
      </c>
      <c r="E27" s="13">
        <v>7.0442723406944824E-2</v>
      </c>
      <c r="F27" s="7">
        <v>43690</v>
      </c>
    </row>
    <row r="28" spans="1:13">
      <c r="B28" s="8">
        <v>45444</v>
      </c>
      <c r="C28" s="11">
        <v>3</v>
      </c>
      <c r="D28" s="7">
        <v>111100</v>
      </c>
      <c r="E28" s="13">
        <v>1.7912992837060129E-2</v>
      </c>
      <c r="F28" s="7">
        <v>37033.333333333336</v>
      </c>
    </row>
    <row r="29" spans="1:13">
      <c r="B29" s="8">
        <v>45474</v>
      </c>
      <c r="C29" s="11">
        <v>6</v>
      </c>
      <c r="D29" s="7">
        <v>291200</v>
      </c>
      <c r="E29" s="13">
        <v>4.6951066734040585E-2</v>
      </c>
      <c r="F29" s="7">
        <v>48533.333333333336</v>
      </c>
    </row>
    <row r="30" spans="1:13">
      <c r="B30" s="8">
        <v>45505</v>
      </c>
      <c r="C30" s="11">
        <v>8</v>
      </c>
      <c r="D30" s="7">
        <v>249400</v>
      </c>
      <c r="E30" s="13">
        <v>4.0211524874552616E-2</v>
      </c>
      <c r="F30" s="7">
        <v>31175</v>
      </c>
    </row>
    <row r="31" spans="1:13">
      <c r="B31" s="8">
        <v>45536</v>
      </c>
      <c r="C31" s="11">
        <v>8</v>
      </c>
      <c r="D31" s="7">
        <v>243400</v>
      </c>
      <c r="E31" s="13">
        <v>3.9244126521516071E-2</v>
      </c>
      <c r="F31" s="7">
        <v>30425</v>
      </c>
    </row>
    <row r="32" spans="1:13">
      <c r="B32" s="8">
        <v>45566</v>
      </c>
      <c r="C32" s="11">
        <v>8</v>
      </c>
      <c r="D32" s="7">
        <v>221200</v>
      </c>
      <c r="E32" s="13">
        <v>3.5664752615280834E-2</v>
      </c>
      <c r="F32" s="7">
        <v>27650</v>
      </c>
    </row>
    <row r="33" spans="1:6">
      <c r="B33" s="8">
        <v>45597</v>
      </c>
      <c r="C33" s="11">
        <v>8</v>
      </c>
      <c r="D33" s="7">
        <v>402200</v>
      </c>
      <c r="E33" s="13">
        <v>6.4847936265216774E-2</v>
      </c>
      <c r="F33" s="7">
        <v>50275</v>
      </c>
    </row>
    <row r="34" spans="1:6">
      <c r="B34" s="8">
        <v>45627</v>
      </c>
      <c r="C34" s="11">
        <v>1</v>
      </c>
      <c r="D34" s="7">
        <v>89900</v>
      </c>
      <c r="E34" s="13">
        <v>1.4494851989664315E-2</v>
      </c>
      <c r="F34" s="7">
        <v>89900</v>
      </c>
    </row>
    <row r="35" spans="1:6">
      <c r="A35" t="s">
        <v>750</v>
      </c>
      <c r="C35" s="11">
        <v>62</v>
      </c>
      <c r="D35" s="7">
        <v>2433600</v>
      </c>
      <c r="E35" s="13">
        <v>0.39237677199162491</v>
      </c>
      <c r="F35" s="7">
        <v>39251.612903225803</v>
      </c>
    </row>
    <row r="36" spans="1:6">
      <c r="A36" t="s">
        <v>87</v>
      </c>
      <c r="B36" s="8">
        <v>45323</v>
      </c>
      <c r="C36" s="11">
        <v>1</v>
      </c>
      <c r="D36" s="7">
        <v>42000</v>
      </c>
      <c r="E36" s="13">
        <v>6.7717884712558537E-3</v>
      </c>
      <c r="F36" s="7">
        <v>42000</v>
      </c>
    </row>
    <row r="37" spans="1:6">
      <c r="B37" s="8">
        <v>45352</v>
      </c>
      <c r="C37" s="11">
        <v>1</v>
      </c>
      <c r="D37" s="7">
        <v>44500</v>
      </c>
      <c r="E37" s="13">
        <v>7.1748711183544167E-3</v>
      </c>
      <c r="F37" s="7">
        <v>44500</v>
      </c>
    </row>
    <row r="38" spans="1:6">
      <c r="B38" s="8">
        <v>45444</v>
      </c>
      <c r="C38" s="11">
        <v>6</v>
      </c>
      <c r="D38" s="7">
        <v>262100</v>
      </c>
      <c r="E38" s="13">
        <v>4.2259184721813316E-2</v>
      </c>
      <c r="F38" s="7">
        <v>43683.333333333336</v>
      </c>
    </row>
    <row r="39" spans="1:6">
      <c r="B39" s="8">
        <v>45474</v>
      </c>
      <c r="C39" s="11">
        <v>1</v>
      </c>
      <c r="D39" s="7">
        <v>43500</v>
      </c>
      <c r="E39" s="13">
        <v>7.0136380595149919E-3</v>
      </c>
      <c r="F39" s="7">
        <v>43500</v>
      </c>
    </row>
    <row r="40" spans="1:6">
      <c r="B40" s="8">
        <v>45505</v>
      </c>
      <c r="C40" s="11">
        <v>1</v>
      </c>
      <c r="D40" s="7">
        <v>179900</v>
      </c>
      <c r="E40" s="13">
        <v>2.9005827285212574E-2</v>
      </c>
      <c r="F40" s="7">
        <v>179900</v>
      </c>
    </row>
    <row r="41" spans="1:6">
      <c r="B41" s="8">
        <v>45566</v>
      </c>
      <c r="C41" s="11">
        <v>1</v>
      </c>
      <c r="D41" s="7">
        <v>55900</v>
      </c>
      <c r="E41" s="13">
        <v>9.0129279891238631E-3</v>
      </c>
      <c r="F41" s="7">
        <v>55900</v>
      </c>
    </row>
    <row r="42" spans="1:6">
      <c r="B42" s="8">
        <v>45597</v>
      </c>
      <c r="C42" s="11">
        <v>1</v>
      </c>
      <c r="D42" s="7">
        <v>24900</v>
      </c>
      <c r="E42" s="13">
        <v>4.0147031651016846E-3</v>
      </c>
      <c r="F42" s="7">
        <v>24900</v>
      </c>
    </row>
    <row r="43" spans="1:6">
      <c r="A43" t="s">
        <v>751</v>
      </c>
      <c r="C43" s="11">
        <v>12</v>
      </c>
      <c r="D43" s="7">
        <v>652800</v>
      </c>
      <c r="E43" s="13">
        <v>0.1052529408103767</v>
      </c>
      <c r="F43" s="7">
        <v>54400</v>
      </c>
    </row>
    <row r="44" spans="1:6">
      <c r="A44" t="s">
        <v>361</v>
      </c>
      <c r="B44" s="8">
        <v>45505</v>
      </c>
      <c r="C44" s="11">
        <v>6</v>
      </c>
      <c r="D44" s="7">
        <v>199501</v>
      </c>
      <c r="E44" s="13">
        <v>3.2166156471524147E-2</v>
      </c>
      <c r="F44" s="7">
        <v>33250.166666666664</v>
      </c>
    </row>
    <row r="45" spans="1:6">
      <c r="A45" t="s">
        <v>752</v>
      </c>
      <c r="C45" s="11">
        <v>6</v>
      </c>
      <c r="D45" s="7">
        <v>199501</v>
      </c>
      <c r="E45" s="13">
        <v>3.2166156471524147E-2</v>
      </c>
      <c r="F45" s="7">
        <v>33250.166666666664</v>
      </c>
    </row>
    <row r="46" spans="1:6">
      <c r="A46" t="s">
        <v>742</v>
      </c>
      <c r="C46" s="11">
        <v>137</v>
      </c>
      <c r="D46" s="7">
        <v>6202202</v>
      </c>
      <c r="E46" s="13">
        <v>1</v>
      </c>
      <c r="F46" s="7">
        <v>45271.547445255477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4268-F3FF-4BCD-B870-AE765B61AA36}">
  <dimension ref="A1:M65"/>
  <sheetViews>
    <sheetView workbookViewId="0">
      <selection activeCell="H12" sqref="H12"/>
    </sheetView>
  </sheetViews>
  <sheetFormatPr defaultRowHeight="15"/>
  <cols>
    <col min="4" max="4" width="14" bestFit="1" customWidth="1"/>
    <col min="5" max="5" width="16.140625" bestFit="1" customWidth="1"/>
    <col min="6" max="6" width="13.7109375" bestFit="1" customWidth="1"/>
    <col min="8" max="8" width="30.140625" customWidth="1"/>
    <col min="9" max="9" width="11.28515625" bestFit="1" customWidth="1"/>
    <col min="10" max="10" width="10.140625" bestFit="1" customWidth="1"/>
    <col min="11" max="11" width="14" bestFit="1" customWidth="1"/>
    <col min="12" max="12" width="16.140625" bestFit="1" customWidth="1"/>
    <col min="13" max="13" width="13.7109375" bestFit="1" customWidth="1"/>
  </cols>
  <sheetData>
    <row r="1" spans="1:13">
      <c r="A1" t="s">
        <v>753</v>
      </c>
    </row>
    <row r="2" spans="1:13">
      <c r="A2" t="s">
        <v>754</v>
      </c>
    </row>
    <row r="4" spans="1:13">
      <c r="A4" s="10" t="s">
        <v>755</v>
      </c>
      <c r="B4" s="10" t="s">
        <v>745</v>
      </c>
      <c r="C4" s="10" t="s">
        <v>738</v>
      </c>
      <c r="D4" t="s">
        <v>739</v>
      </c>
      <c r="E4" t="s">
        <v>740</v>
      </c>
      <c r="F4" t="s">
        <v>741</v>
      </c>
      <c r="H4" s="10" t="s">
        <v>755</v>
      </c>
      <c r="I4" s="10" t="s">
        <v>19</v>
      </c>
      <c r="J4" t="s">
        <v>738</v>
      </c>
      <c r="K4" t="s">
        <v>739</v>
      </c>
      <c r="L4" t="s">
        <v>740</v>
      </c>
      <c r="M4" t="s">
        <v>741</v>
      </c>
    </row>
    <row r="5" spans="1:13">
      <c r="A5" t="s">
        <v>77</v>
      </c>
      <c r="B5" s="8">
        <v>45323</v>
      </c>
      <c r="C5" s="11">
        <v>1</v>
      </c>
      <c r="D5" s="7">
        <v>38900</v>
      </c>
      <c r="E5" s="13">
        <v>6.2719659888536361E-3</v>
      </c>
      <c r="F5" s="7">
        <v>38900</v>
      </c>
      <c r="H5" t="s">
        <v>77</v>
      </c>
      <c r="I5" t="s">
        <v>35</v>
      </c>
      <c r="J5" s="11">
        <v>3</v>
      </c>
      <c r="K5" s="7">
        <v>126000</v>
      </c>
      <c r="L5" s="13">
        <v>2.031536541376756E-2</v>
      </c>
      <c r="M5" s="7">
        <v>42000</v>
      </c>
    </row>
    <row r="6" spans="1:13">
      <c r="B6" s="8">
        <v>45352</v>
      </c>
      <c r="C6" s="11">
        <v>2</v>
      </c>
      <c r="D6" s="7">
        <v>87100</v>
      </c>
      <c r="E6" s="13">
        <v>1.4043399424913925E-2</v>
      </c>
      <c r="F6" s="7">
        <v>43550</v>
      </c>
      <c r="I6" t="s">
        <v>147</v>
      </c>
      <c r="J6" s="11">
        <v>12</v>
      </c>
      <c r="K6" s="7">
        <v>554300</v>
      </c>
      <c r="L6" s="13">
        <v>8.9371484514693331E-2</v>
      </c>
      <c r="M6" s="7">
        <v>46191.666666666664</v>
      </c>
    </row>
    <row r="7" spans="1:13">
      <c r="B7" s="8">
        <v>45383</v>
      </c>
      <c r="C7" s="11">
        <v>3</v>
      </c>
      <c r="D7" s="7">
        <v>135600</v>
      </c>
      <c r="E7" s="13">
        <v>2.1863202778626044E-2</v>
      </c>
      <c r="F7" s="7">
        <v>45200</v>
      </c>
      <c r="I7" t="s">
        <v>301</v>
      </c>
      <c r="J7" s="11">
        <v>22</v>
      </c>
      <c r="K7" s="7">
        <v>784000</v>
      </c>
      <c r="L7" s="13">
        <v>0.12640671813010929</v>
      </c>
      <c r="M7" s="7">
        <v>35636.36363636364</v>
      </c>
    </row>
    <row r="8" spans="1:13">
      <c r="B8" s="8">
        <v>45413</v>
      </c>
      <c r="C8" s="11">
        <v>6</v>
      </c>
      <c r="D8" s="7">
        <v>307600</v>
      </c>
      <c r="E8" s="13">
        <v>4.9595288899007162E-2</v>
      </c>
      <c r="F8" s="7">
        <v>51266.666666666664</v>
      </c>
      <c r="I8" t="s">
        <v>497</v>
      </c>
      <c r="J8" s="11">
        <v>17</v>
      </c>
      <c r="K8" s="7">
        <v>713300</v>
      </c>
      <c r="L8" s="13">
        <v>0.11500754087016192</v>
      </c>
      <c r="M8" s="7">
        <v>41958.823529411762</v>
      </c>
    </row>
    <row r="9" spans="1:13">
      <c r="B9" s="8">
        <v>45444</v>
      </c>
      <c r="C9" s="11">
        <v>3</v>
      </c>
      <c r="D9" s="7">
        <v>111100</v>
      </c>
      <c r="E9" s="13">
        <v>1.7912992837060129E-2</v>
      </c>
      <c r="F9" s="7">
        <v>37033.333333333336</v>
      </c>
      <c r="H9" t="s">
        <v>756</v>
      </c>
      <c r="J9" s="11">
        <v>54</v>
      </c>
      <c r="K9" s="7">
        <v>2177600</v>
      </c>
      <c r="L9" s="13">
        <v>0.35110110892873209</v>
      </c>
      <c r="M9" s="7">
        <v>40325.925925925927</v>
      </c>
    </row>
    <row r="10" spans="1:13">
      <c r="B10" s="8">
        <v>45474</v>
      </c>
      <c r="C10" s="11">
        <v>6</v>
      </c>
      <c r="D10" s="7">
        <v>291200</v>
      </c>
      <c r="E10" s="13">
        <v>4.6951066734040585E-2</v>
      </c>
      <c r="F10" s="7">
        <v>48533.333333333336</v>
      </c>
      <c r="H10" t="s">
        <v>325</v>
      </c>
      <c r="I10" t="s">
        <v>301</v>
      </c>
      <c r="J10" s="11">
        <v>1</v>
      </c>
      <c r="K10" s="7">
        <v>129900</v>
      </c>
      <c r="L10" s="13">
        <v>2.094417434324132E-2</v>
      </c>
      <c r="M10" s="7">
        <v>129900</v>
      </c>
    </row>
    <row r="11" spans="1:13">
      <c r="B11" s="8">
        <v>45505</v>
      </c>
      <c r="C11" s="11">
        <v>8</v>
      </c>
      <c r="D11" s="7">
        <v>249400</v>
      </c>
      <c r="E11" s="13">
        <v>4.0211524874552616E-2</v>
      </c>
      <c r="F11" s="7">
        <v>31175</v>
      </c>
      <c r="I11" t="s">
        <v>497</v>
      </c>
      <c r="J11" s="11">
        <v>1</v>
      </c>
      <c r="K11" s="7">
        <v>199900</v>
      </c>
      <c r="L11" s="13">
        <v>3.2230488462001078E-2</v>
      </c>
      <c r="M11" s="7">
        <v>199900</v>
      </c>
    </row>
    <row r="12" spans="1:13">
      <c r="B12" s="8">
        <v>45536</v>
      </c>
      <c r="C12" s="11">
        <v>8</v>
      </c>
      <c r="D12" s="7">
        <v>243400</v>
      </c>
      <c r="E12" s="13">
        <v>3.9244126521516071E-2</v>
      </c>
      <c r="F12" s="7">
        <v>30425</v>
      </c>
      <c r="H12" t="s">
        <v>757</v>
      </c>
      <c r="J12" s="11">
        <v>2</v>
      </c>
      <c r="K12" s="7">
        <v>329800</v>
      </c>
      <c r="L12" s="13">
        <v>5.3174662805242398E-2</v>
      </c>
      <c r="M12" s="7">
        <v>164900</v>
      </c>
    </row>
    <row r="13" spans="1:13">
      <c r="B13" s="8">
        <v>45566</v>
      </c>
      <c r="C13" s="11">
        <v>8</v>
      </c>
      <c r="D13" s="7">
        <v>221200</v>
      </c>
      <c r="E13" s="13">
        <v>3.5664752615280834E-2</v>
      </c>
      <c r="F13" s="7">
        <v>27650</v>
      </c>
      <c r="H13" t="s">
        <v>51</v>
      </c>
      <c r="I13" t="s">
        <v>35</v>
      </c>
      <c r="J13" s="11">
        <v>6</v>
      </c>
      <c r="K13" s="7">
        <v>229400</v>
      </c>
      <c r="L13" s="13">
        <v>3.6986863697764119E-2</v>
      </c>
      <c r="M13" s="7">
        <v>38233.333333333336</v>
      </c>
    </row>
    <row r="14" spans="1:13">
      <c r="B14" s="8">
        <v>45597</v>
      </c>
      <c r="C14" s="11">
        <v>8</v>
      </c>
      <c r="D14" s="7">
        <v>402200</v>
      </c>
      <c r="E14" s="13">
        <v>6.4847936265216774E-2</v>
      </c>
      <c r="F14" s="7">
        <v>50275</v>
      </c>
      <c r="I14" t="s">
        <v>147</v>
      </c>
      <c r="J14" s="11">
        <v>6</v>
      </c>
      <c r="K14" s="7">
        <v>230500</v>
      </c>
      <c r="L14" s="13">
        <v>3.7164220062487485E-2</v>
      </c>
      <c r="M14" s="7">
        <v>38416.666666666664</v>
      </c>
    </row>
    <row r="15" spans="1:13">
      <c r="B15" s="8">
        <v>45627</v>
      </c>
      <c r="C15" s="11">
        <v>1</v>
      </c>
      <c r="D15" s="7">
        <v>89900</v>
      </c>
      <c r="E15" s="13">
        <v>1.4494851989664315E-2</v>
      </c>
      <c r="F15" s="7">
        <v>89900</v>
      </c>
      <c r="I15" t="s">
        <v>301</v>
      </c>
      <c r="J15" s="11">
        <v>6</v>
      </c>
      <c r="K15" s="7">
        <v>307900</v>
      </c>
      <c r="L15" s="13">
        <v>4.9643658816658984E-2</v>
      </c>
      <c r="M15" s="7">
        <v>51316.666666666664</v>
      </c>
    </row>
    <row r="16" spans="1:13">
      <c r="A16" t="s">
        <v>756</v>
      </c>
      <c r="C16" s="11">
        <v>54</v>
      </c>
      <c r="D16" s="7">
        <v>2177600</v>
      </c>
      <c r="E16" s="13">
        <v>0.35110110892873209</v>
      </c>
      <c r="F16" s="7">
        <v>40325.925925925927</v>
      </c>
      <c r="I16" t="s">
        <v>497</v>
      </c>
      <c r="J16" s="11">
        <v>11</v>
      </c>
      <c r="K16" s="7">
        <v>597600</v>
      </c>
      <c r="L16" s="13">
        <v>9.6352875962440437E-2</v>
      </c>
      <c r="M16" s="7">
        <v>54327.272727272728</v>
      </c>
    </row>
    <row r="17" spans="1:13">
      <c r="A17" t="s">
        <v>325</v>
      </c>
      <c r="B17" s="8">
        <v>45474</v>
      </c>
      <c r="C17" s="11">
        <v>1</v>
      </c>
      <c r="D17" s="7">
        <v>129900</v>
      </c>
      <c r="E17" s="13">
        <v>2.094417434324132E-2</v>
      </c>
      <c r="F17" s="7">
        <v>129900</v>
      </c>
      <c r="H17" t="s">
        <v>758</v>
      </c>
      <c r="J17" s="11">
        <v>29</v>
      </c>
      <c r="K17" s="7">
        <v>1365400</v>
      </c>
      <c r="L17" s="13">
        <v>0.22014761853935103</v>
      </c>
      <c r="M17" s="7">
        <v>47082.758620689652</v>
      </c>
    </row>
    <row r="18" spans="1:13">
      <c r="B18" s="8">
        <v>45627</v>
      </c>
      <c r="C18" s="11">
        <v>1</v>
      </c>
      <c r="D18" s="7">
        <v>199900</v>
      </c>
      <c r="E18" s="13">
        <v>3.2230488462001078E-2</v>
      </c>
      <c r="F18" s="7">
        <v>199900</v>
      </c>
      <c r="H18" t="s">
        <v>489</v>
      </c>
      <c r="I18" t="s">
        <v>301</v>
      </c>
      <c r="J18" s="11">
        <v>1</v>
      </c>
      <c r="K18" s="7">
        <v>149900</v>
      </c>
      <c r="L18" s="13">
        <v>2.4168835520029821E-2</v>
      </c>
      <c r="M18" s="7">
        <v>149900</v>
      </c>
    </row>
    <row r="19" spans="1:13">
      <c r="A19" t="s">
        <v>757</v>
      </c>
      <c r="C19" s="11">
        <v>2</v>
      </c>
      <c r="D19" s="7">
        <v>329800</v>
      </c>
      <c r="E19" s="13">
        <v>5.3174662805242398E-2</v>
      </c>
      <c r="F19" s="7">
        <v>164900</v>
      </c>
      <c r="H19" t="s">
        <v>759</v>
      </c>
      <c r="J19" s="11">
        <v>1</v>
      </c>
      <c r="K19" s="7">
        <v>149900</v>
      </c>
      <c r="L19" s="13">
        <v>2.4168835520029821E-2</v>
      </c>
      <c r="M19" s="7">
        <v>149900</v>
      </c>
    </row>
    <row r="20" spans="1:13">
      <c r="A20" t="s">
        <v>51</v>
      </c>
      <c r="B20" s="8">
        <v>45323</v>
      </c>
      <c r="C20" s="11">
        <v>2</v>
      </c>
      <c r="D20" s="7">
        <v>52300</v>
      </c>
      <c r="E20" s="13">
        <v>8.4324889773019322E-3</v>
      </c>
      <c r="F20" s="7">
        <v>26150</v>
      </c>
      <c r="H20" t="s">
        <v>266</v>
      </c>
      <c r="I20" t="s">
        <v>147</v>
      </c>
      <c r="J20" s="11">
        <v>1</v>
      </c>
      <c r="K20" s="7">
        <v>49900</v>
      </c>
      <c r="L20" s="13">
        <v>8.0455296360873122E-3</v>
      </c>
      <c r="M20" s="7">
        <v>49900</v>
      </c>
    </row>
    <row r="21" spans="1:13">
      <c r="B21" s="8">
        <v>45352</v>
      </c>
      <c r="C21" s="11">
        <v>4</v>
      </c>
      <c r="D21" s="7">
        <v>177100</v>
      </c>
      <c r="E21" s="13">
        <v>2.8554374720462183E-2</v>
      </c>
      <c r="F21" s="7">
        <v>44275</v>
      </c>
      <c r="I21" t="s">
        <v>301</v>
      </c>
      <c r="J21" s="11">
        <v>1</v>
      </c>
      <c r="K21" s="7">
        <v>99900</v>
      </c>
      <c r="L21" s="13">
        <v>1.6107182578058567E-2</v>
      </c>
      <c r="M21" s="7">
        <v>99900</v>
      </c>
    </row>
    <row r="22" spans="1:13">
      <c r="B22" s="8">
        <v>45383</v>
      </c>
      <c r="C22" s="11">
        <v>3</v>
      </c>
      <c r="D22" s="7">
        <v>112200</v>
      </c>
      <c r="E22" s="13">
        <v>1.8090349201783495E-2</v>
      </c>
      <c r="F22" s="7">
        <v>37400</v>
      </c>
      <c r="H22" t="s">
        <v>760</v>
      </c>
      <c r="J22" s="11">
        <v>2</v>
      </c>
      <c r="K22" s="7">
        <v>149800</v>
      </c>
      <c r="L22" s="13">
        <v>2.4152712214145878E-2</v>
      </c>
      <c r="M22" s="7">
        <v>74900</v>
      </c>
    </row>
    <row r="23" spans="1:13">
      <c r="B23" s="8">
        <v>45413</v>
      </c>
      <c r="C23" s="11">
        <v>2</v>
      </c>
      <c r="D23" s="7">
        <v>69400</v>
      </c>
      <c r="E23" s="13">
        <v>1.1189574283456101E-2</v>
      </c>
      <c r="F23" s="7">
        <v>34700</v>
      </c>
      <c r="H23" t="s">
        <v>69</v>
      </c>
      <c r="I23" t="s">
        <v>35</v>
      </c>
      <c r="J23" s="11">
        <v>2</v>
      </c>
      <c r="K23" s="7">
        <v>65300</v>
      </c>
      <c r="L23" s="13">
        <v>1.0528518742214459E-2</v>
      </c>
      <c r="M23" s="7">
        <v>32650</v>
      </c>
    </row>
    <row r="24" spans="1:13">
      <c r="B24" s="8">
        <v>45444</v>
      </c>
      <c r="C24" s="11">
        <v>1</v>
      </c>
      <c r="D24" s="7">
        <v>48900</v>
      </c>
      <c r="E24" s="13">
        <v>7.8842965772478873E-3</v>
      </c>
      <c r="F24" s="7">
        <v>48900</v>
      </c>
      <c r="I24" t="s">
        <v>147</v>
      </c>
      <c r="J24" s="11">
        <v>6</v>
      </c>
      <c r="K24" s="7">
        <v>190700</v>
      </c>
      <c r="L24" s="13">
        <v>3.0747144320678366E-2</v>
      </c>
      <c r="M24" s="7">
        <v>31783.333333333332</v>
      </c>
    </row>
    <row r="25" spans="1:13">
      <c r="B25" s="8">
        <v>45474</v>
      </c>
      <c r="C25" s="11">
        <v>4</v>
      </c>
      <c r="D25" s="7">
        <v>193100</v>
      </c>
      <c r="E25" s="13">
        <v>3.1134103661892985E-2</v>
      </c>
      <c r="F25" s="7">
        <v>48275</v>
      </c>
      <c r="H25" t="s">
        <v>761</v>
      </c>
      <c r="J25" s="11">
        <v>8</v>
      </c>
      <c r="K25" s="7">
        <v>256000</v>
      </c>
      <c r="L25" s="13">
        <v>4.1275663062892827E-2</v>
      </c>
      <c r="M25" s="7">
        <v>32000</v>
      </c>
    </row>
    <row r="26" spans="1:13">
      <c r="B26" s="8">
        <v>45505</v>
      </c>
      <c r="C26" s="11">
        <v>1</v>
      </c>
      <c r="D26" s="7">
        <v>39900</v>
      </c>
      <c r="E26" s="13">
        <v>6.433199047693061E-3</v>
      </c>
      <c r="F26" s="7">
        <v>39900</v>
      </c>
      <c r="H26" t="s">
        <v>635</v>
      </c>
      <c r="I26" t="s">
        <v>497</v>
      </c>
      <c r="J26" s="11">
        <v>4</v>
      </c>
      <c r="K26" s="7">
        <v>310600</v>
      </c>
      <c r="L26" s="13">
        <v>5.0078988075525431E-2</v>
      </c>
      <c r="M26" s="7">
        <v>77650</v>
      </c>
    </row>
    <row r="27" spans="1:13">
      <c r="B27" s="8">
        <v>45536</v>
      </c>
      <c r="C27" s="11">
        <v>1</v>
      </c>
      <c r="D27" s="7">
        <v>74900</v>
      </c>
      <c r="E27" s="13">
        <v>1.2076356107072939E-2</v>
      </c>
      <c r="F27" s="7">
        <v>74900</v>
      </c>
      <c r="H27" t="s">
        <v>762</v>
      </c>
      <c r="J27" s="11">
        <v>4</v>
      </c>
      <c r="K27" s="7">
        <v>310600</v>
      </c>
      <c r="L27" s="13">
        <v>5.0078988075525431E-2</v>
      </c>
      <c r="M27" s="7">
        <v>77650</v>
      </c>
    </row>
    <row r="28" spans="1:13">
      <c r="B28" s="8">
        <v>45566</v>
      </c>
      <c r="C28" s="11">
        <v>6</v>
      </c>
      <c r="D28" s="7">
        <v>245500</v>
      </c>
      <c r="E28" s="13">
        <v>3.958271594507886E-2</v>
      </c>
      <c r="F28" s="7">
        <v>40916.666666666664</v>
      </c>
      <c r="H28" t="s">
        <v>88</v>
      </c>
      <c r="I28" t="s">
        <v>35</v>
      </c>
      <c r="J28" s="11">
        <v>2</v>
      </c>
      <c r="K28" s="7">
        <v>86500</v>
      </c>
      <c r="L28" s="13">
        <v>1.394665958961027E-2</v>
      </c>
      <c r="M28" s="7">
        <v>43250</v>
      </c>
    </row>
    <row r="29" spans="1:13">
      <c r="B29" s="8">
        <v>45597</v>
      </c>
      <c r="C29" s="11">
        <v>2</v>
      </c>
      <c r="D29" s="7">
        <v>164400</v>
      </c>
      <c r="E29" s="13">
        <v>2.6506714873201484E-2</v>
      </c>
      <c r="F29" s="7">
        <v>82200</v>
      </c>
      <c r="I29" t="s">
        <v>147</v>
      </c>
      <c r="J29" s="11">
        <v>6</v>
      </c>
      <c r="K29" s="7">
        <v>262100</v>
      </c>
      <c r="L29" s="13">
        <v>4.2259184721813316E-2</v>
      </c>
      <c r="M29" s="7">
        <v>43683.333333333336</v>
      </c>
    </row>
    <row r="30" spans="1:13">
      <c r="B30" s="8">
        <v>45627</v>
      </c>
      <c r="C30" s="11">
        <v>3</v>
      </c>
      <c r="D30" s="7">
        <v>187700</v>
      </c>
      <c r="E30" s="13">
        <v>3.026344514416009E-2</v>
      </c>
      <c r="F30" s="7">
        <v>62566.666666666664</v>
      </c>
      <c r="I30" t="s">
        <v>301</v>
      </c>
      <c r="J30" s="11">
        <v>2</v>
      </c>
      <c r="K30" s="7">
        <v>223400</v>
      </c>
      <c r="L30" s="13">
        <v>3.6019465344727566E-2</v>
      </c>
      <c r="M30" s="7">
        <v>111700</v>
      </c>
    </row>
    <row r="31" spans="1:13">
      <c r="A31" t="s">
        <v>758</v>
      </c>
      <c r="C31" s="11">
        <v>29</v>
      </c>
      <c r="D31" s="7">
        <v>1365400</v>
      </c>
      <c r="E31" s="13">
        <v>0.22014761853935103</v>
      </c>
      <c r="F31" s="7">
        <v>47082.758620689652</v>
      </c>
      <c r="I31" t="s">
        <v>497</v>
      </c>
      <c r="J31" s="11">
        <v>2</v>
      </c>
      <c r="K31" s="7">
        <v>80800</v>
      </c>
      <c r="L31" s="13">
        <v>1.3027631154225547E-2</v>
      </c>
      <c r="M31" s="7">
        <v>40400</v>
      </c>
    </row>
    <row r="32" spans="1:13">
      <c r="A32" t="s">
        <v>489</v>
      </c>
      <c r="B32" s="8">
        <v>45536</v>
      </c>
      <c r="C32" s="11">
        <v>1</v>
      </c>
      <c r="D32" s="7">
        <v>149900</v>
      </c>
      <c r="E32" s="13">
        <v>2.4168835520029821E-2</v>
      </c>
      <c r="F32" s="7">
        <v>149900</v>
      </c>
      <c r="H32" t="s">
        <v>763</v>
      </c>
      <c r="J32" s="11">
        <v>12</v>
      </c>
      <c r="K32" s="7">
        <v>652800</v>
      </c>
      <c r="L32" s="13">
        <v>0.1052529408103767</v>
      </c>
      <c r="M32" s="7">
        <v>54400</v>
      </c>
    </row>
    <row r="33" spans="1:13">
      <c r="A33" t="s">
        <v>759</v>
      </c>
      <c r="C33" s="11">
        <v>1</v>
      </c>
      <c r="D33" s="7">
        <v>149900</v>
      </c>
      <c r="E33" s="13">
        <v>2.4168835520029821E-2</v>
      </c>
      <c r="F33" s="7">
        <v>149900</v>
      </c>
      <c r="H33" t="s">
        <v>259</v>
      </c>
      <c r="I33" t="s">
        <v>147</v>
      </c>
      <c r="J33" s="11">
        <v>2</v>
      </c>
      <c r="K33" s="7">
        <v>71801</v>
      </c>
      <c r="L33" s="13">
        <v>1.1576694857729561E-2</v>
      </c>
      <c r="M33" s="7">
        <v>35900.5</v>
      </c>
    </row>
    <row r="34" spans="1:13">
      <c r="A34" t="s">
        <v>266</v>
      </c>
      <c r="B34" s="8">
        <v>45444</v>
      </c>
      <c r="C34" s="11">
        <v>1</v>
      </c>
      <c r="D34" s="7">
        <v>49900</v>
      </c>
      <c r="E34" s="13">
        <v>8.0455296360873122E-3</v>
      </c>
      <c r="F34" s="7">
        <v>49900</v>
      </c>
      <c r="I34" t="s">
        <v>497</v>
      </c>
      <c r="J34" s="11">
        <v>5</v>
      </c>
      <c r="K34" s="7">
        <v>279100</v>
      </c>
      <c r="L34" s="13">
        <v>4.5000146722083544E-2</v>
      </c>
      <c r="M34" s="7">
        <v>55820</v>
      </c>
    </row>
    <row r="35" spans="1:13">
      <c r="B35" s="8">
        <v>45474</v>
      </c>
      <c r="C35" s="11">
        <v>1</v>
      </c>
      <c r="D35" s="7">
        <v>99900</v>
      </c>
      <c r="E35" s="13">
        <v>1.6107182578058567E-2</v>
      </c>
      <c r="F35" s="7">
        <v>99900</v>
      </c>
      <c r="H35" t="s">
        <v>764</v>
      </c>
      <c r="J35" s="11">
        <v>7</v>
      </c>
      <c r="K35" s="7">
        <v>350901</v>
      </c>
      <c r="L35" s="13">
        <v>5.6576841579813103E-2</v>
      </c>
      <c r="M35" s="7">
        <v>50128.714285714283</v>
      </c>
    </row>
    <row r="36" spans="1:13">
      <c r="A36" t="s">
        <v>760</v>
      </c>
      <c r="C36" s="11">
        <v>2</v>
      </c>
      <c r="D36" s="7">
        <v>149800</v>
      </c>
      <c r="E36" s="13">
        <v>2.4152712214145878E-2</v>
      </c>
      <c r="F36" s="7">
        <v>74900</v>
      </c>
      <c r="H36" t="s">
        <v>24</v>
      </c>
      <c r="I36" t="s">
        <v>35</v>
      </c>
      <c r="J36" s="11">
        <v>4</v>
      </c>
      <c r="K36" s="7">
        <v>95100</v>
      </c>
      <c r="L36" s="13">
        <v>1.5333263895629326E-2</v>
      </c>
      <c r="M36" s="7">
        <v>23775</v>
      </c>
    </row>
    <row r="37" spans="1:13">
      <c r="A37" t="s">
        <v>69</v>
      </c>
      <c r="B37" s="8">
        <v>45323</v>
      </c>
      <c r="C37" s="11">
        <v>1</v>
      </c>
      <c r="D37" s="7">
        <v>29500</v>
      </c>
      <c r="E37" s="13">
        <v>4.7563752357630404E-3</v>
      </c>
      <c r="F37" s="7">
        <v>29500</v>
      </c>
      <c r="I37" t="s">
        <v>147</v>
      </c>
      <c r="J37" s="11">
        <v>2</v>
      </c>
      <c r="K37" s="7">
        <v>49300</v>
      </c>
      <c r="L37" s="13">
        <v>7.9487898007836576E-3</v>
      </c>
      <c r="M37" s="7">
        <v>24650</v>
      </c>
    </row>
    <row r="38" spans="1:13">
      <c r="B38" s="8">
        <v>45352</v>
      </c>
      <c r="C38" s="11">
        <v>1</v>
      </c>
      <c r="D38" s="7">
        <v>35800</v>
      </c>
      <c r="E38" s="13">
        <v>5.7721435064514185E-3</v>
      </c>
      <c r="F38" s="7">
        <v>35800</v>
      </c>
      <c r="I38" t="s">
        <v>301</v>
      </c>
      <c r="J38" s="11">
        <v>6</v>
      </c>
      <c r="K38" s="7">
        <v>115500</v>
      </c>
      <c r="L38" s="13">
        <v>1.86224182959536E-2</v>
      </c>
      <c r="M38" s="7">
        <v>19250</v>
      </c>
    </row>
    <row r="39" spans="1:13">
      <c r="B39" s="8">
        <v>45383</v>
      </c>
      <c r="C39" s="11">
        <v>2</v>
      </c>
      <c r="D39" s="7">
        <v>61400</v>
      </c>
      <c r="E39" s="13">
        <v>9.8997098127407007E-3</v>
      </c>
      <c r="F39" s="7">
        <v>30700</v>
      </c>
      <c r="H39" t="s">
        <v>765</v>
      </c>
      <c r="J39" s="11">
        <v>12</v>
      </c>
      <c r="K39" s="7">
        <v>259900</v>
      </c>
      <c r="L39" s="13">
        <v>4.1904471992366583E-2</v>
      </c>
      <c r="M39" s="7">
        <v>21658.333333333332</v>
      </c>
    </row>
    <row r="40" spans="1:13">
      <c r="B40" s="8">
        <v>45413</v>
      </c>
      <c r="C40" s="11">
        <v>4</v>
      </c>
      <c r="D40" s="7">
        <v>129300</v>
      </c>
      <c r="E40" s="13">
        <v>2.0847434507937666E-2</v>
      </c>
      <c r="F40" s="7">
        <v>32325</v>
      </c>
      <c r="H40" t="s">
        <v>362</v>
      </c>
      <c r="I40" t="s">
        <v>301</v>
      </c>
      <c r="J40" s="11">
        <v>6</v>
      </c>
      <c r="K40" s="7">
        <v>199501</v>
      </c>
      <c r="L40" s="13">
        <v>3.2166156471524147E-2</v>
      </c>
      <c r="M40" s="7">
        <v>33250.166666666664</v>
      </c>
    </row>
    <row r="41" spans="1:13">
      <c r="A41" t="s">
        <v>761</v>
      </c>
      <c r="C41" s="11">
        <v>8</v>
      </c>
      <c r="D41" s="7">
        <v>256000</v>
      </c>
      <c r="E41" s="13">
        <v>4.1275663062892827E-2</v>
      </c>
      <c r="F41" s="7">
        <v>32000</v>
      </c>
      <c r="H41" t="s">
        <v>766</v>
      </c>
      <c r="J41" s="11">
        <v>6</v>
      </c>
      <c r="K41" s="7">
        <v>199501</v>
      </c>
      <c r="L41" s="13">
        <v>3.2166156471524147E-2</v>
      </c>
      <c r="M41" s="7">
        <v>33250.166666666664</v>
      </c>
    </row>
    <row r="42" spans="1:13">
      <c r="A42" t="s">
        <v>635</v>
      </c>
      <c r="B42" s="8">
        <v>45627</v>
      </c>
      <c r="C42" s="11">
        <v>4</v>
      </c>
      <c r="D42" s="7">
        <v>310600</v>
      </c>
      <c r="E42" s="13">
        <v>5.0078988075525431E-2</v>
      </c>
      <c r="F42" s="7">
        <v>77650</v>
      </c>
      <c r="H42" t="s">
        <v>742</v>
      </c>
      <c r="J42" s="11">
        <v>137</v>
      </c>
      <c r="K42" s="7">
        <v>6202202</v>
      </c>
      <c r="L42" s="13">
        <v>1</v>
      </c>
      <c r="M42" s="7">
        <v>45271.547445255477</v>
      </c>
    </row>
    <row r="43" spans="1:13">
      <c r="A43" t="s">
        <v>762</v>
      </c>
      <c r="C43" s="11">
        <v>4</v>
      </c>
      <c r="D43" s="7">
        <v>310600</v>
      </c>
      <c r="E43" s="13">
        <v>5.0078988075525431E-2</v>
      </c>
      <c r="F43" s="7">
        <v>77650</v>
      </c>
    </row>
    <row r="44" spans="1:13">
      <c r="A44" t="s">
        <v>88</v>
      </c>
      <c r="B44" s="8">
        <v>45323</v>
      </c>
      <c r="C44" s="11">
        <v>1</v>
      </c>
      <c r="D44" s="7">
        <v>42000</v>
      </c>
      <c r="E44" s="13">
        <v>6.7717884712558537E-3</v>
      </c>
      <c r="F44" s="7">
        <v>42000</v>
      </c>
    </row>
    <row r="45" spans="1:13">
      <c r="B45" s="8">
        <v>45352</v>
      </c>
      <c r="C45" s="11">
        <v>1</v>
      </c>
      <c r="D45" s="7">
        <v>44500</v>
      </c>
      <c r="E45" s="13">
        <v>7.1748711183544167E-3</v>
      </c>
      <c r="F45" s="7">
        <v>44500</v>
      </c>
    </row>
    <row r="46" spans="1:13">
      <c r="B46" s="8">
        <v>45444</v>
      </c>
      <c r="C46" s="11">
        <v>6</v>
      </c>
      <c r="D46" s="7">
        <v>262100</v>
      </c>
      <c r="E46" s="13">
        <v>4.2259184721813316E-2</v>
      </c>
      <c r="F46" s="7">
        <v>43683.333333333336</v>
      </c>
    </row>
    <row r="47" spans="1:13">
      <c r="B47" s="8">
        <v>45474</v>
      </c>
      <c r="C47" s="11">
        <v>1</v>
      </c>
      <c r="D47" s="7">
        <v>43500</v>
      </c>
      <c r="E47" s="13">
        <v>7.0136380595149919E-3</v>
      </c>
      <c r="F47" s="7">
        <v>43500</v>
      </c>
    </row>
    <row r="48" spans="1:13">
      <c r="B48" s="8">
        <v>45505</v>
      </c>
      <c r="C48" s="11">
        <v>1</v>
      </c>
      <c r="D48" s="7">
        <v>179900</v>
      </c>
      <c r="E48" s="13">
        <v>2.9005827285212574E-2</v>
      </c>
      <c r="F48" s="7">
        <v>179900</v>
      </c>
    </row>
    <row r="49" spans="1:6">
      <c r="B49" s="8">
        <v>45566</v>
      </c>
      <c r="C49" s="11">
        <v>1</v>
      </c>
      <c r="D49" s="7">
        <v>55900</v>
      </c>
      <c r="E49" s="13">
        <v>9.0129279891238631E-3</v>
      </c>
      <c r="F49" s="7">
        <v>55900</v>
      </c>
    </row>
    <row r="50" spans="1:6">
      <c r="B50" s="8">
        <v>45597</v>
      </c>
      <c r="C50" s="11">
        <v>1</v>
      </c>
      <c r="D50" s="7">
        <v>24900</v>
      </c>
      <c r="E50" s="13">
        <v>4.0147031651016846E-3</v>
      </c>
      <c r="F50" s="7">
        <v>24900</v>
      </c>
    </row>
    <row r="51" spans="1:6">
      <c r="A51" t="s">
        <v>763</v>
      </c>
      <c r="C51" s="11">
        <v>12</v>
      </c>
      <c r="D51" s="7">
        <v>652800</v>
      </c>
      <c r="E51" s="13">
        <v>0.1052529408103767</v>
      </c>
      <c r="F51" s="7">
        <v>54400</v>
      </c>
    </row>
    <row r="52" spans="1:6">
      <c r="A52" t="s">
        <v>259</v>
      </c>
      <c r="B52" s="8">
        <v>45444</v>
      </c>
      <c r="C52" s="11">
        <v>2</v>
      </c>
      <c r="D52" s="7">
        <v>71801</v>
      </c>
      <c r="E52" s="13">
        <v>1.1576694857729561E-2</v>
      </c>
      <c r="F52" s="7">
        <v>35900.5</v>
      </c>
    </row>
    <row r="53" spans="1:6">
      <c r="B53" s="8">
        <v>45597</v>
      </c>
      <c r="C53" s="11">
        <v>4</v>
      </c>
      <c r="D53" s="7">
        <v>172200</v>
      </c>
      <c r="E53" s="13">
        <v>2.7764332732149E-2</v>
      </c>
      <c r="F53" s="7">
        <v>43050</v>
      </c>
    </row>
    <row r="54" spans="1:6">
      <c r="B54" s="8">
        <v>45627</v>
      </c>
      <c r="C54" s="11">
        <v>1</v>
      </c>
      <c r="D54" s="7">
        <v>106900</v>
      </c>
      <c r="E54" s="13">
        <v>1.7235813989934543E-2</v>
      </c>
      <c r="F54" s="7">
        <v>106900</v>
      </c>
    </row>
    <row r="55" spans="1:6">
      <c r="A55" t="s">
        <v>764</v>
      </c>
      <c r="C55" s="11">
        <v>7</v>
      </c>
      <c r="D55" s="7">
        <v>350901</v>
      </c>
      <c r="E55" s="13">
        <v>5.6576841579813103E-2</v>
      </c>
      <c r="F55" s="7">
        <v>50128.714285714283</v>
      </c>
    </row>
    <row r="56" spans="1:6">
      <c r="A56" t="s">
        <v>24</v>
      </c>
      <c r="B56" s="8">
        <v>45292</v>
      </c>
      <c r="C56" s="11">
        <v>2</v>
      </c>
      <c r="D56" s="7">
        <v>49000</v>
      </c>
      <c r="E56" s="13">
        <v>7.9004198831318304E-3</v>
      </c>
      <c r="F56" s="7">
        <v>24500</v>
      </c>
    </row>
    <row r="57" spans="1:6">
      <c r="B57" s="8">
        <v>45323</v>
      </c>
      <c r="C57" s="11">
        <v>1</v>
      </c>
      <c r="D57" s="7">
        <v>22900</v>
      </c>
      <c r="E57" s="13">
        <v>3.6922370474228349E-3</v>
      </c>
      <c r="F57" s="7">
        <v>22900</v>
      </c>
    </row>
    <row r="58" spans="1:6">
      <c r="B58" s="8">
        <v>45352</v>
      </c>
      <c r="C58" s="11">
        <v>1</v>
      </c>
      <c r="D58" s="7">
        <v>23200</v>
      </c>
      <c r="E58" s="13">
        <v>3.7406069650746622E-3</v>
      </c>
      <c r="F58" s="7">
        <v>23200</v>
      </c>
    </row>
    <row r="59" spans="1:6">
      <c r="B59" s="8">
        <v>45383</v>
      </c>
      <c r="C59" s="11">
        <v>2</v>
      </c>
      <c r="D59" s="7">
        <v>49300</v>
      </c>
      <c r="E59" s="13">
        <v>7.9487898007836576E-3</v>
      </c>
      <c r="F59" s="7">
        <v>24650</v>
      </c>
    </row>
    <row r="60" spans="1:6">
      <c r="B60" s="8">
        <v>45474</v>
      </c>
      <c r="C60" s="11">
        <v>1</v>
      </c>
      <c r="D60" s="7">
        <v>18900</v>
      </c>
      <c r="E60" s="13">
        <v>3.0473048120651341E-3</v>
      </c>
      <c r="F60" s="7">
        <v>18900</v>
      </c>
    </row>
    <row r="61" spans="1:6">
      <c r="B61" s="8">
        <v>45536</v>
      </c>
      <c r="C61" s="11">
        <v>5</v>
      </c>
      <c r="D61" s="7">
        <v>96600</v>
      </c>
      <c r="E61" s="13">
        <v>1.5575113483888464E-2</v>
      </c>
      <c r="F61" s="7">
        <v>19320</v>
      </c>
    </row>
    <row r="62" spans="1:6">
      <c r="A62" t="s">
        <v>765</v>
      </c>
      <c r="C62" s="11">
        <v>12</v>
      </c>
      <c r="D62" s="7">
        <v>259900</v>
      </c>
      <c r="E62" s="13">
        <v>4.1904471992366583E-2</v>
      </c>
      <c r="F62" s="7">
        <v>21658.333333333332</v>
      </c>
    </row>
    <row r="63" spans="1:6">
      <c r="A63" t="s">
        <v>362</v>
      </c>
      <c r="B63" s="8">
        <v>45505</v>
      </c>
      <c r="C63" s="11">
        <v>6</v>
      </c>
      <c r="D63" s="7">
        <v>199501</v>
      </c>
      <c r="E63" s="13">
        <v>3.2166156471524147E-2</v>
      </c>
      <c r="F63" s="7">
        <v>33250.166666666664</v>
      </c>
    </row>
    <row r="64" spans="1:6">
      <c r="A64" t="s">
        <v>766</v>
      </c>
      <c r="C64" s="11">
        <v>6</v>
      </c>
      <c r="D64" s="7">
        <v>199501</v>
      </c>
      <c r="E64" s="13">
        <v>3.2166156471524147E-2</v>
      </c>
      <c r="F64" s="7">
        <v>33250.166666666664</v>
      </c>
    </row>
    <row r="65" spans="1:6">
      <c r="A65" t="s">
        <v>742</v>
      </c>
      <c r="C65" s="11">
        <v>137</v>
      </c>
      <c r="D65" s="7">
        <v>6202202</v>
      </c>
      <c r="E65" s="13">
        <v>1</v>
      </c>
      <c r="F65" s="7">
        <v>45271.547445255477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EF19-67FA-44D0-BBAE-BAAB79C60353}">
  <dimension ref="A1:N23"/>
  <sheetViews>
    <sheetView workbookViewId="0">
      <selection activeCell="I26" sqref="I26"/>
    </sheetView>
  </sheetViews>
  <sheetFormatPr defaultRowHeight="15"/>
  <cols>
    <col min="1" max="1" width="16.85546875" bestFit="1" customWidth="1"/>
    <col min="2" max="2" width="19.85546875" bestFit="1" customWidth="1"/>
    <col min="3" max="3" width="14" bestFit="1" customWidth="1"/>
    <col min="4" max="4" width="16.140625" bestFit="1" customWidth="1"/>
    <col min="5" max="5" width="13.7109375" bestFit="1" customWidth="1"/>
    <col min="6" max="6" width="10.140625" bestFit="1" customWidth="1"/>
    <col min="7" max="7" width="16.85546875" bestFit="1" customWidth="1"/>
    <col min="8" max="8" width="19.85546875" bestFit="1" customWidth="1"/>
    <col min="9" max="9" width="14" bestFit="1" customWidth="1"/>
    <col min="10" max="10" width="16.140625" bestFit="1" customWidth="1"/>
    <col min="11" max="11" width="13.7109375" bestFit="1" customWidth="1"/>
    <col min="12" max="12" width="21.28515625" bestFit="1" customWidth="1"/>
    <col min="13" max="13" width="18.85546875" bestFit="1" customWidth="1"/>
    <col min="14" max="14" width="10.140625" bestFit="1" customWidth="1"/>
    <col min="15" max="15" width="13.85546875" bestFit="1" customWidth="1"/>
    <col min="16" max="16" width="16.140625" bestFit="1" customWidth="1"/>
    <col min="17" max="17" width="13.7109375" bestFit="1" customWidth="1"/>
    <col min="18" max="18" width="15.140625" bestFit="1" customWidth="1"/>
    <col min="19" max="19" width="18.7109375" bestFit="1" customWidth="1"/>
    <col min="20" max="20" width="21.28515625" bestFit="1" customWidth="1"/>
    <col min="21" max="21" width="18.85546875" bestFit="1" customWidth="1"/>
  </cols>
  <sheetData>
    <row r="1" spans="1:11">
      <c r="A1" t="s">
        <v>767</v>
      </c>
    </row>
    <row r="2" spans="1:11">
      <c r="A2" t="s">
        <v>768</v>
      </c>
    </row>
    <row r="4" spans="1:11">
      <c r="A4" s="10" t="s">
        <v>769</v>
      </c>
      <c r="B4" t="s">
        <v>738</v>
      </c>
      <c r="C4" t="s">
        <v>739</v>
      </c>
      <c r="D4" t="s">
        <v>740</v>
      </c>
      <c r="E4" t="s">
        <v>741</v>
      </c>
      <c r="H4" s="10" t="s">
        <v>770</v>
      </c>
      <c r="I4" s="10" t="s">
        <v>771</v>
      </c>
    </row>
    <row r="5" spans="1:11">
      <c r="A5" t="s">
        <v>44</v>
      </c>
      <c r="B5" s="11">
        <v>47</v>
      </c>
      <c r="C5" s="7">
        <v>2421301</v>
      </c>
      <c r="D5" s="13">
        <v>0.39039376660095881</v>
      </c>
      <c r="E5" s="7">
        <v>51517.042553191488</v>
      </c>
      <c r="H5" t="s">
        <v>103</v>
      </c>
    </row>
    <row r="6" spans="1:11">
      <c r="A6" t="s">
        <v>30</v>
      </c>
      <c r="B6" s="11">
        <v>29</v>
      </c>
      <c r="C6" s="7">
        <v>1352000</v>
      </c>
      <c r="D6" s="13">
        <v>0.21798709555090273</v>
      </c>
      <c r="E6" s="7">
        <v>46620.689655172413</v>
      </c>
      <c r="G6" s="10" t="s">
        <v>769</v>
      </c>
      <c r="H6" t="s">
        <v>738</v>
      </c>
      <c r="I6" t="s">
        <v>739</v>
      </c>
      <c r="J6" t="s">
        <v>740</v>
      </c>
      <c r="K6" t="s">
        <v>741</v>
      </c>
    </row>
    <row r="7" spans="1:11">
      <c r="A7" t="s">
        <v>93</v>
      </c>
      <c r="B7" s="11">
        <v>31</v>
      </c>
      <c r="C7" s="7">
        <v>1248001</v>
      </c>
      <c r="D7" s="13">
        <v>0.20121901866466135</v>
      </c>
      <c r="E7" s="7">
        <v>40258.096774193546</v>
      </c>
      <c r="G7" t="s">
        <v>44</v>
      </c>
      <c r="H7" s="11">
        <v>11</v>
      </c>
      <c r="I7" s="7">
        <v>1160500</v>
      </c>
      <c r="J7" s="13">
        <v>0.60085948016982504</v>
      </c>
      <c r="K7" s="7">
        <v>105500</v>
      </c>
    </row>
    <row r="8" spans="1:11">
      <c r="A8" t="s">
        <v>81</v>
      </c>
      <c r="B8" s="11">
        <v>30</v>
      </c>
      <c r="C8" s="7">
        <v>1180900</v>
      </c>
      <c r="D8" s="13">
        <v>0.1904001191834771</v>
      </c>
      <c r="E8" s="7">
        <v>39363.333333333336</v>
      </c>
      <c r="G8" t="s">
        <v>30</v>
      </c>
      <c r="H8" s="11">
        <v>11</v>
      </c>
      <c r="I8" s="7">
        <v>770900</v>
      </c>
      <c r="J8" s="13">
        <v>0.39914051983017501</v>
      </c>
      <c r="K8" s="7">
        <v>70081.818181818177</v>
      </c>
    </row>
    <row r="9" spans="1:11">
      <c r="A9" t="s">
        <v>742</v>
      </c>
      <c r="B9" s="11">
        <v>137</v>
      </c>
      <c r="C9" s="7">
        <v>6202202</v>
      </c>
      <c r="D9" s="13">
        <v>1</v>
      </c>
      <c r="E9" s="7">
        <v>45271.547445255477</v>
      </c>
    </row>
    <row r="11" spans="1:11">
      <c r="G11" t="s">
        <v>1</v>
      </c>
      <c r="H11" t="s">
        <v>101</v>
      </c>
    </row>
    <row r="13" spans="1:11">
      <c r="B13" s="10" t="s">
        <v>770</v>
      </c>
      <c r="C13" s="10" t="s">
        <v>771</v>
      </c>
      <c r="H13" s="10" t="s">
        <v>770</v>
      </c>
      <c r="I13" s="10" t="s">
        <v>771</v>
      </c>
    </row>
    <row r="14" spans="1:11">
      <c r="B14" t="s">
        <v>25</v>
      </c>
      <c r="H14" t="s">
        <v>103</v>
      </c>
    </row>
    <row r="15" spans="1:11">
      <c r="A15" s="10" t="s">
        <v>769</v>
      </c>
      <c r="B15" t="s">
        <v>738</v>
      </c>
      <c r="C15" t="s">
        <v>739</v>
      </c>
      <c r="D15" t="s">
        <v>740</v>
      </c>
      <c r="E15" t="s">
        <v>741</v>
      </c>
      <c r="G15" s="10" t="s">
        <v>769</v>
      </c>
      <c r="H15" t="s">
        <v>738</v>
      </c>
      <c r="I15" t="s">
        <v>739</v>
      </c>
      <c r="J15" t="s">
        <v>740</v>
      </c>
      <c r="K15" t="s">
        <v>741</v>
      </c>
    </row>
    <row r="16" spans="1:11">
      <c r="A16" t="s">
        <v>93</v>
      </c>
      <c r="B16" s="11">
        <v>31</v>
      </c>
      <c r="C16" s="7">
        <v>1248001</v>
      </c>
      <c r="D16" s="13">
        <v>0.29221701216773804</v>
      </c>
      <c r="E16" s="7">
        <v>40258.096774193546</v>
      </c>
      <c r="G16" t="s">
        <v>30</v>
      </c>
      <c r="H16" s="11">
        <v>11</v>
      </c>
      <c r="I16" s="7">
        <v>770900</v>
      </c>
      <c r="J16" s="13">
        <v>1</v>
      </c>
      <c r="K16" s="7">
        <v>70081.818181818177</v>
      </c>
    </row>
    <row r="17" spans="1:14">
      <c r="A17" t="s">
        <v>81</v>
      </c>
      <c r="B17" s="11">
        <v>30</v>
      </c>
      <c r="C17" s="7">
        <v>1180900</v>
      </c>
      <c r="D17" s="13">
        <v>0.27650544323993481</v>
      </c>
      <c r="E17" s="7">
        <v>39363.333333333336</v>
      </c>
    </row>
    <row r="18" spans="1:14">
      <c r="A18" t="s">
        <v>44</v>
      </c>
      <c r="B18" s="11">
        <v>36</v>
      </c>
      <c r="C18" s="7">
        <v>1260801</v>
      </c>
      <c r="D18" s="13">
        <v>0.29521410732691422</v>
      </c>
      <c r="E18" s="7">
        <v>35022.25</v>
      </c>
      <c r="G18" t="s">
        <v>1</v>
      </c>
      <c r="H18" t="s">
        <v>109</v>
      </c>
    </row>
    <row r="19" spans="1:14">
      <c r="A19" t="s">
        <v>30</v>
      </c>
      <c r="B19" s="11">
        <v>18</v>
      </c>
      <c r="C19" s="7">
        <v>581100</v>
      </c>
      <c r="D19" s="13">
        <v>0.13606343726541292</v>
      </c>
      <c r="E19" s="7">
        <v>32283.333333333332</v>
      </c>
      <c r="L19" s="7"/>
      <c r="M19" s="13"/>
      <c r="N19" s="7"/>
    </row>
    <row r="20" spans="1:14">
      <c r="H20" s="10" t="s">
        <v>770</v>
      </c>
      <c r="I20" s="10" t="s">
        <v>771</v>
      </c>
      <c r="L20" s="7"/>
      <c r="M20" s="13"/>
      <c r="N20" s="7"/>
    </row>
    <row r="21" spans="1:14">
      <c r="H21" t="s">
        <v>103</v>
      </c>
    </row>
    <row r="22" spans="1:14">
      <c r="G22" s="10" t="s">
        <v>769</v>
      </c>
      <c r="H22" t="s">
        <v>738</v>
      </c>
      <c r="I22" t="s">
        <v>739</v>
      </c>
      <c r="J22" t="s">
        <v>740</v>
      </c>
      <c r="K22" t="s">
        <v>741</v>
      </c>
    </row>
    <row r="23" spans="1:14">
      <c r="G23" t="s">
        <v>44</v>
      </c>
      <c r="H23" s="11">
        <v>11</v>
      </c>
      <c r="I23" s="7">
        <v>1160500</v>
      </c>
      <c r="J23" s="13">
        <v>1</v>
      </c>
      <c r="K23" s="7">
        <v>105500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C083-2452-46C1-B68B-895212015962}">
  <dimension ref="A1:B42"/>
  <sheetViews>
    <sheetView workbookViewId="0">
      <selection activeCell="B29" sqref="B29"/>
    </sheetView>
  </sheetViews>
  <sheetFormatPr defaultRowHeight="15"/>
  <cols>
    <col min="1" max="1" width="12" bestFit="1" customWidth="1"/>
    <col min="2" max="2" width="13.7109375" bestFit="1" customWidth="1"/>
    <col min="3" max="3" width="12.5703125" bestFit="1" customWidth="1"/>
    <col min="4" max="4" width="14.140625" bestFit="1" customWidth="1"/>
    <col min="5" max="6" width="12.5703125" bestFit="1" customWidth="1"/>
    <col min="7" max="7" width="7.140625" bestFit="1" customWidth="1"/>
    <col min="8" max="8" width="7.85546875" bestFit="1" customWidth="1"/>
    <col min="9" max="9" width="7" bestFit="1" customWidth="1"/>
    <col min="10" max="10" width="6.28515625" bestFit="1" customWidth="1"/>
    <col min="11" max="11" width="7.42578125" bestFit="1" customWidth="1"/>
    <col min="12" max="12" width="7.140625" bestFit="1" customWidth="1"/>
    <col min="13" max="13" width="7" bestFit="1" customWidth="1"/>
    <col min="14" max="14" width="7.5703125" bestFit="1" customWidth="1"/>
    <col min="15" max="15" width="7.28515625" bestFit="1" customWidth="1"/>
    <col min="16" max="16" width="11.7109375" bestFit="1" customWidth="1"/>
  </cols>
  <sheetData>
    <row r="1" spans="1:2">
      <c r="A1" t="s">
        <v>772</v>
      </c>
    </row>
    <row r="2" spans="1:2">
      <c r="A2" t="s">
        <v>773</v>
      </c>
    </row>
    <row r="4" spans="1:2">
      <c r="A4" s="10" t="s">
        <v>1</v>
      </c>
      <c r="B4" t="s">
        <v>741</v>
      </c>
    </row>
    <row r="5" spans="1:2">
      <c r="A5" t="s">
        <v>109</v>
      </c>
      <c r="B5" s="7">
        <v>105500</v>
      </c>
    </row>
    <row r="6" spans="1:2">
      <c r="A6" t="s">
        <v>101</v>
      </c>
      <c r="B6" s="7">
        <v>70081.818181818177</v>
      </c>
    </row>
    <row r="7" spans="1:2">
      <c r="A7" t="s">
        <v>96</v>
      </c>
      <c r="B7" s="7">
        <v>43200.0625</v>
      </c>
    </row>
    <row r="8" spans="1:2">
      <c r="A8" t="s">
        <v>75</v>
      </c>
      <c r="B8" s="7">
        <v>40514.285714285717</v>
      </c>
    </row>
    <row r="9" spans="1:2">
      <c r="A9" t="s">
        <v>49</v>
      </c>
      <c r="B9" s="7">
        <v>37676.470588235294</v>
      </c>
    </row>
    <row r="10" spans="1:2">
      <c r="A10" t="s">
        <v>85</v>
      </c>
      <c r="B10" s="7">
        <v>36606.3125</v>
      </c>
    </row>
    <row r="11" spans="1:2">
      <c r="A11" t="s">
        <v>37</v>
      </c>
      <c r="B11" s="7">
        <v>36394.444444444445</v>
      </c>
    </row>
    <row r="12" spans="1:2">
      <c r="A12" t="s">
        <v>59</v>
      </c>
      <c r="B12" s="7">
        <v>33929.411764705881</v>
      </c>
    </row>
    <row r="13" spans="1:2">
      <c r="A13" t="s">
        <v>21</v>
      </c>
      <c r="B13" s="7">
        <v>32605.882352941175</v>
      </c>
    </row>
    <row r="17" spans="1:2">
      <c r="A17" s="10" t="s">
        <v>2</v>
      </c>
      <c r="B17" t="s">
        <v>741</v>
      </c>
    </row>
    <row r="18" spans="1:2">
      <c r="A18" t="s">
        <v>660</v>
      </c>
      <c r="B18" s="7">
        <v>199900</v>
      </c>
    </row>
    <row r="19" spans="1:2">
      <c r="A19" t="s">
        <v>385</v>
      </c>
      <c r="B19" s="7">
        <v>179900</v>
      </c>
    </row>
    <row r="20" spans="1:2">
      <c r="A20" t="s">
        <v>488</v>
      </c>
      <c r="B20" s="7">
        <v>149900</v>
      </c>
    </row>
    <row r="21" spans="1:2">
      <c r="A21" t="s">
        <v>324</v>
      </c>
      <c r="B21" s="7">
        <v>129900</v>
      </c>
    </row>
    <row r="22" spans="1:2">
      <c r="A22" t="s">
        <v>592</v>
      </c>
      <c r="B22" s="7">
        <v>129900</v>
      </c>
    </row>
    <row r="23" spans="1:2">
      <c r="A23" t="s">
        <v>638</v>
      </c>
      <c r="B23" s="7">
        <v>115900</v>
      </c>
    </row>
    <row r="24" spans="1:2">
      <c r="A24" t="s">
        <v>620</v>
      </c>
      <c r="B24" s="7">
        <v>106900</v>
      </c>
    </row>
    <row r="25" spans="1:2">
      <c r="A25" t="s">
        <v>356</v>
      </c>
      <c r="B25" s="7">
        <v>99900</v>
      </c>
    </row>
    <row r="26" spans="1:2">
      <c r="A26" t="s">
        <v>227</v>
      </c>
      <c r="B26" s="7">
        <v>99900</v>
      </c>
    </row>
    <row r="27" spans="1:2">
      <c r="A27" t="s">
        <v>646</v>
      </c>
      <c r="B27" s="7">
        <v>89900</v>
      </c>
    </row>
    <row r="28" spans="1:2">
      <c r="A28" t="s">
        <v>320</v>
      </c>
      <c r="B28" s="7">
        <v>89900</v>
      </c>
    </row>
    <row r="32" spans="1:2">
      <c r="A32" s="10" t="s">
        <v>2</v>
      </c>
      <c r="B32" t="s">
        <v>741</v>
      </c>
    </row>
    <row r="33" spans="1:2">
      <c r="A33" t="s">
        <v>484</v>
      </c>
      <c r="B33" s="7">
        <v>16500</v>
      </c>
    </row>
    <row r="34" spans="1:2">
      <c r="A34" t="s">
        <v>467</v>
      </c>
      <c r="B34" s="7">
        <v>17800</v>
      </c>
    </row>
    <row r="35" spans="1:2">
      <c r="A35" t="s">
        <v>463</v>
      </c>
      <c r="B35" s="7">
        <v>18500</v>
      </c>
    </row>
    <row r="36" spans="1:2">
      <c r="A36" t="s">
        <v>311</v>
      </c>
      <c r="B36" s="7">
        <v>18900</v>
      </c>
    </row>
    <row r="37" spans="1:2">
      <c r="A37" t="s">
        <v>459</v>
      </c>
      <c r="B37" s="7">
        <v>19900</v>
      </c>
    </row>
    <row r="38" spans="1:2">
      <c r="A38" t="s">
        <v>503</v>
      </c>
      <c r="B38" s="7">
        <v>21800</v>
      </c>
    </row>
    <row r="39" spans="1:2">
      <c r="A39" t="s">
        <v>443</v>
      </c>
      <c r="B39" s="7">
        <v>21900</v>
      </c>
    </row>
    <row r="40" spans="1:2">
      <c r="A40" t="s">
        <v>479</v>
      </c>
      <c r="B40" s="7">
        <v>22900</v>
      </c>
    </row>
    <row r="41" spans="1:2">
      <c r="A41" t="s">
        <v>60</v>
      </c>
      <c r="B41" s="7">
        <v>22900</v>
      </c>
    </row>
    <row r="42" spans="1:2">
      <c r="A42" t="s">
        <v>408</v>
      </c>
      <c r="B42" s="7">
        <v>22900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E7390-2451-4FFA-85DB-50484F99629F}">
  <dimension ref="A1:B27"/>
  <sheetViews>
    <sheetView topLeftCell="B1" workbookViewId="0">
      <selection activeCell="P28" sqref="P28"/>
    </sheetView>
  </sheetViews>
  <sheetFormatPr defaultRowHeight="15"/>
  <cols>
    <col min="1" max="1" width="11.7109375" bestFit="1" customWidth="1"/>
    <col min="2" max="4" width="14" bestFit="1" customWidth="1"/>
  </cols>
  <sheetData>
    <row r="1" spans="1:2">
      <c r="A1" t="s">
        <v>774</v>
      </c>
    </row>
    <row r="4" spans="1:2">
      <c r="A4" s="10" t="s">
        <v>1</v>
      </c>
      <c r="B4" t="s">
        <v>738</v>
      </c>
    </row>
    <row r="5" spans="1:2">
      <c r="A5" t="s">
        <v>37</v>
      </c>
      <c r="B5" s="11">
        <v>18</v>
      </c>
    </row>
    <row r="6" spans="1:2">
      <c r="A6" t="s">
        <v>49</v>
      </c>
      <c r="B6" s="11">
        <v>17</v>
      </c>
    </row>
    <row r="7" spans="1:2">
      <c r="A7" t="s">
        <v>21</v>
      </c>
      <c r="B7" s="11">
        <v>17</v>
      </c>
    </row>
    <row r="8" spans="1:2">
      <c r="A8" t="s">
        <v>59</v>
      </c>
      <c r="B8" s="11">
        <v>17</v>
      </c>
    </row>
    <row r="9" spans="1:2">
      <c r="A9" t="s">
        <v>96</v>
      </c>
      <c r="B9" s="11">
        <v>16</v>
      </c>
    </row>
    <row r="10" spans="1:2">
      <c r="A10" t="s">
        <v>85</v>
      </c>
      <c r="B10" s="11">
        <v>16</v>
      </c>
    </row>
    <row r="11" spans="1:2">
      <c r="A11" t="s">
        <v>75</v>
      </c>
      <c r="B11" s="11">
        <v>14</v>
      </c>
    </row>
    <row r="12" spans="1:2">
      <c r="A12" t="s">
        <v>101</v>
      </c>
      <c r="B12" s="11">
        <v>11</v>
      </c>
    </row>
    <row r="13" spans="1:2">
      <c r="A13" t="s">
        <v>109</v>
      </c>
      <c r="B13" s="11">
        <v>11</v>
      </c>
    </row>
    <row r="14" spans="1:2">
      <c r="A14" t="s">
        <v>742</v>
      </c>
      <c r="B14" s="11">
        <v>137</v>
      </c>
    </row>
    <row r="17" spans="1:2">
      <c r="A17" s="10" t="s">
        <v>1</v>
      </c>
      <c r="B17" t="s">
        <v>739</v>
      </c>
    </row>
    <row r="18" spans="1:2">
      <c r="A18" t="s">
        <v>109</v>
      </c>
      <c r="B18" s="7">
        <v>1160500</v>
      </c>
    </row>
    <row r="19" spans="1:2">
      <c r="A19" t="s">
        <v>101</v>
      </c>
      <c r="B19" s="7">
        <v>770900</v>
      </c>
    </row>
    <row r="20" spans="1:2">
      <c r="A20" t="s">
        <v>96</v>
      </c>
      <c r="B20" s="7">
        <v>691201</v>
      </c>
    </row>
    <row r="21" spans="1:2">
      <c r="A21" t="s">
        <v>37</v>
      </c>
      <c r="B21" s="7">
        <v>655100</v>
      </c>
    </row>
    <row r="22" spans="1:2">
      <c r="A22" t="s">
        <v>49</v>
      </c>
      <c r="B22" s="7">
        <v>640500</v>
      </c>
    </row>
    <row r="23" spans="1:2">
      <c r="A23" t="s">
        <v>85</v>
      </c>
      <c r="B23" s="7">
        <v>585701</v>
      </c>
    </row>
    <row r="24" spans="1:2">
      <c r="A24" t="s">
        <v>59</v>
      </c>
      <c r="B24" s="7">
        <v>576800</v>
      </c>
    </row>
    <row r="25" spans="1:2">
      <c r="A25" t="s">
        <v>75</v>
      </c>
      <c r="B25" s="7">
        <v>567200</v>
      </c>
    </row>
    <row r="26" spans="1:2">
      <c r="A26" t="s">
        <v>21</v>
      </c>
      <c r="B26" s="7">
        <v>554300</v>
      </c>
    </row>
    <row r="27" spans="1:2">
      <c r="A27" t="s">
        <v>742</v>
      </c>
      <c r="B27" s="7">
        <v>6202202</v>
      </c>
    </row>
  </sheetData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0B91-3930-4B2F-BF3E-D492540C0C0F}">
  <dimension ref="A1:C31"/>
  <sheetViews>
    <sheetView topLeftCell="E1" workbookViewId="0">
      <selection activeCell="C7" sqref="C7"/>
    </sheetView>
  </sheetViews>
  <sheetFormatPr defaultRowHeight="15"/>
  <cols>
    <col min="1" max="1" width="14.140625" bestFit="1" customWidth="1"/>
    <col min="2" max="2" width="14" bestFit="1" customWidth="1"/>
    <col min="3" max="3" width="13.7109375" bestFit="1" customWidth="1"/>
  </cols>
  <sheetData>
    <row r="1" spans="1:2">
      <c r="A1" t="s">
        <v>775</v>
      </c>
    </row>
    <row r="3" spans="1:2">
      <c r="A3" s="10" t="s">
        <v>776</v>
      </c>
      <c r="B3" t="s">
        <v>738</v>
      </c>
    </row>
    <row r="4" spans="1:2">
      <c r="A4" s="8">
        <v>45292</v>
      </c>
      <c r="B4" s="11">
        <v>2</v>
      </c>
    </row>
    <row r="5" spans="1:2">
      <c r="A5" s="8">
        <v>45323</v>
      </c>
      <c r="B5" s="11">
        <v>6</v>
      </c>
    </row>
    <row r="6" spans="1:2">
      <c r="A6" s="8">
        <v>45352</v>
      </c>
      <c r="B6" s="11">
        <v>9</v>
      </c>
    </row>
    <row r="7" spans="1:2">
      <c r="A7" s="8">
        <v>45383</v>
      </c>
      <c r="B7" s="11">
        <v>10</v>
      </c>
    </row>
    <row r="8" spans="1:2">
      <c r="A8" s="8">
        <v>45413</v>
      </c>
      <c r="B8" s="11">
        <v>12</v>
      </c>
    </row>
    <row r="9" spans="1:2">
      <c r="A9" s="8">
        <v>45444</v>
      </c>
      <c r="B9" s="11">
        <v>13</v>
      </c>
    </row>
    <row r="10" spans="1:2">
      <c r="A10" s="8">
        <v>45474</v>
      </c>
      <c r="B10" s="11">
        <v>14</v>
      </c>
    </row>
    <row r="11" spans="1:2">
      <c r="A11" s="8">
        <v>45505</v>
      </c>
      <c r="B11" s="11">
        <v>16</v>
      </c>
    </row>
    <row r="12" spans="1:2">
      <c r="A12" s="8">
        <v>45536</v>
      </c>
      <c r="B12" s="11">
        <v>15</v>
      </c>
    </row>
    <row r="13" spans="1:2">
      <c r="A13" s="8">
        <v>45566</v>
      </c>
      <c r="B13" s="11">
        <v>15</v>
      </c>
    </row>
    <row r="14" spans="1:2">
      <c r="A14" s="8">
        <v>45597</v>
      </c>
      <c r="B14" s="11">
        <v>15</v>
      </c>
    </row>
    <row r="15" spans="1:2">
      <c r="A15" s="8">
        <v>45627</v>
      </c>
      <c r="B15" s="11">
        <v>10</v>
      </c>
    </row>
    <row r="16" spans="1:2">
      <c r="A16" s="8" t="s">
        <v>742</v>
      </c>
      <c r="B16" s="11">
        <v>137</v>
      </c>
    </row>
    <row r="18" spans="1:3">
      <c r="A18" s="10" t="s">
        <v>776</v>
      </c>
      <c r="B18" t="s">
        <v>739</v>
      </c>
      <c r="C18" t="s">
        <v>741</v>
      </c>
    </row>
    <row r="19" spans="1:3">
      <c r="A19" s="8">
        <v>45292</v>
      </c>
      <c r="B19" s="7">
        <v>49000</v>
      </c>
      <c r="C19" s="7">
        <v>24500</v>
      </c>
    </row>
    <row r="20" spans="1:3">
      <c r="A20" s="8">
        <v>45323</v>
      </c>
      <c r="B20" s="7">
        <v>185600</v>
      </c>
      <c r="C20" s="7">
        <v>30933.333333333332</v>
      </c>
    </row>
    <row r="21" spans="1:3">
      <c r="A21" s="8">
        <v>45352</v>
      </c>
      <c r="B21" s="7">
        <v>367700</v>
      </c>
      <c r="C21" s="7">
        <v>40855.555555555555</v>
      </c>
    </row>
    <row r="22" spans="1:3">
      <c r="A22" s="8">
        <v>45383</v>
      </c>
      <c r="B22" s="7">
        <v>358500</v>
      </c>
      <c r="C22" s="7">
        <v>35850</v>
      </c>
    </row>
    <row r="23" spans="1:3">
      <c r="A23" s="8">
        <v>45413</v>
      </c>
      <c r="B23" s="7">
        <v>506300</v>
      </c>
      <c r="C23" s="7">
        <v>42191.666666666664</v>
      </c>
    </row>
    <row r="24" spans="1:3">
      <c r="A24" s="8">
        <v>45444</v>
      </c>
      <c r="B24" s="7">
        <v>543801</v>
      </c>
      <c r="C24" s="7">
        <v>41830.846153846156</v>
      </c>
    </row>
    <row r="25" spans="1:3">
      <c r="A25" s="8">
        <v>45474</v>
      </c>
      <c r="B25" s="7">
        <v>776500</v>
      </c>
      <c r="C25" s="7">
        <v>55464.285714285717</v>
      </c>
    </row>
    <row r="26" spans="1:3">
      <c r="A26" s="8">
        <v>45505</v>
      </c>
      <c r="B26" s="7">
        <v>668701</v>
      </c>
      <c r="C26" s="7">
        <v>41793.8125</v>
      </c>
    </row>
    <row r="27" spans="1:3">
      <c r="A27" s="8">
        <v>45536</v>
      </c>
      <c r="B27" s="7">
        <v>564800</v>
      </c>
      <c r="C27" s="7">
        <v>37653.333333333336</v>
      </c>
    </row>
    <row r="28" spans="1:3">
      <c r="A28" s="8">
        <v>45566</v>
      </c>
      <c r="B28" s="7">
        <v>522600</v>
      </c>
      <c r="C28" s="7">
        <v>34840</v>
      </c>
    </row>
    <row r="29" spans="1:3">
      <c r="A29" s="8">
        <v>45597</v>
      </c>
      <c r="B29" s="7">
        <v>763700</v>
      </c>
      <c r="C29" s="7">
        <v>50913.333333333336</v>
      </c>
    </row>
    <row r="30" spans="1:3">
      <c r="A30" s="8">
        <v>45627</v>
      </c>
      <c r="B30" s="7">
        <v>895000</v>
      </c>
      <c r="C30" s="7">
        <v>89500</v>
      </c>
    </row>
    <row r="31" spans="1:3">
      <c r="A31" s="8" t="s">
        <v>742</v>
      </c>
      <c r="B31" s="7">
        <v>6202202</v>
      </c>
      <c r="C31" s="7">
        <v>45271.547445255477</v>
      </c>
    </row>
  </sheetData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0239-B8B3-436B-82F4-1F5E474A4C2B}">
  <dimension ref="A1:B39"/>
  <sheetViews>
    <sheetView workbookViewId="0">
      <selection activeCell="D4" sqref="D4"/>
    </sheetView>
  </sheetViews>
  <sheetFormatPr defaultColWidth="9.140625" defaultRowHeight="15"/>
  <cols>
    <col min="1" max="1" width="16.42578125" customWidth="1"/>
    <col min="2" max="2" width="22.42578125" bestFit="1" customWidth="1"/>
    <col min="3" max="3" width="10.140625" bestFit="1" customWidth="1"/>
  </cols>
  <sheetData>
    <row r="1" spans="1:2">
      <c r="A1" t="s">
        <v>777</v>
      </c>
    </row>
    <row r="3" spans="1:2">
      <c r="A3" s="10" t="s">
        <v>770</v>
      </c>
      <c r="B3" t="s">
        <v>103</v>
      </c>
    </row>
    <row r="5" spans="1:2">
      <c r="A5" s="10" t="s">
        <v>737</v>
      </c>
      <c r="B5" t="s">
        <v>738</v>
      </c>
    </row>
    <row r="6" spans="1:2">
      <c r="A6" t="s">
        <v>23</v>
      </c>
      <c r="B6" s="11">
        <v>9</v>
      </c>
    </row>
    <row r="7" spans="1:2">
      <c r="A7" t="s">
        <v>68</v>
      </c>
      <c r="B7" s="11">
        <v>6</v>
      </c>
    </row>
    <row r="8" spans="1:2">
      <c r="A8" t="s">
        <v>258</v>
      </c>
      <c r="B8" s="11">
        <v>5</v>
      </c>
    </row>
    <row r="9" spans="1:2">
      <c r="A9" t="s">
        <v>87</v>
      </c>
      <c r="B9" s="11">
        <v>2</v>
      </c>
    </row>
    <row r="10" spans="1:2">
      <c r="A10" t="s">
        <v>742</v>
      </c>
      <c r="B10" s="11">
        <v>22</v>
      </c>
    </row>
    <row r="12" spans="1:2">
      <c r="A12" s="10" t="s">
        <v>770</v>
      </c>
      <c r="B12" t="s">
        <v>103</v>
      </c>
    </row>
    <row r="14" spans="1:2">
      <c r="A14" s="10" t="s">
        <v>737</v>
      </c>
      <c r="B14" t="s">
        <v>739</v>
      </c>
    </row>
    <row r="15" spans="1:2">
      <c r="A15" t="s">
        <v>23</v>
      </c>
      <c r="B15" s="7">
        <v>654700</v>
      </c>
    </row>
    <row r="16" spans="1:2">
      <c r="A16" t="s">
        <v>258</v>
      </c>
      <c r="B16" s="7">
        <v>629500</v>
      </c>
    </row>
    <row r="17" spans="1:2">
      <c r="A17" t="s">
        <v>68</v>
      </c>
      <c r="B17" s="7">
        <v>387400</v>
      </c>
    </row>
    <row r="18" spans="1:2">
      <c r="A18" t="s">
        <v>87</v>
      </c>
      <c r="B18" s="7">
        <v>259800</v>
      </c>
    </row>
    <row r="19" spans="1:2">
      <c r="A19" t="s">
        <v>742</v>
      </c>
      <c r="B19" s="7">
        <v>1931400</v>
      </c>
    </row>
    <row r="21" spans="1:2">
      <c r="A21" t="s">
        <v>770</v>
      </c>
      <c r="B21" t="s">
        <v>25</v>
      </c>
    </row>
    <row r="23" spans="1:2">
      <c r="A23" s="10" t="s">
        <v>737</v>
      </c>
      <c r="B23" t="s">
        <v>738</v>
      </c>
    </row>
    <row r="24" spans="1:2">
      <c r="A24" t="s">
        <v>68</v>
      </c>
      <c r="B24" s="11">
        <v>56</v>
      </c>
    </row>
    <row r="25" spans="1:2">
      <c r="A25" t="s">
        <v>23</v>
      </c>
      <c r="B25" s="11">
        <v>31</v>
      </c>
    </row>
    <row r="26" spans="1:2">
      <c r="A26" t="s">
        <v>258</v>
      </c>
      <c r="B26" s="11">
        <v>12</v>
      </c>
    </row>
    <row r="27" spans="1:2">
      <c r="A27" t="s">
        <v>87</v>
      </c>
      <c r="B27" s="11">
        <v>10</v>
      </c>
    </row>
    <row r="28" spans="1:2">
      <c r="A28" t="s">
        <v>361</v>
      </c>
      <c r="B28" s="11">
        <v>6</v>
      </c>
    </row>
    <row r="29" spans="1:2">
      <c r="A29" t="s">
        <v>742</v>
      </c>
      <c r="B29" s="11">
        <v>115</v>
      </c>
    </row>
    <row r="31" spans="1:2">
      <c r="A31" t="s">
        <v>770</v>
      </c>
      <c r="B31" t="s">
        <v>25</v>
      </c>
    </row>
    <row r="33" spans="1:2">
      <c r="A33" s="10" t="s">
        <v>737</v>
      </c>
      <c r="B33" t="s">
        <v>739</v>
      </c>
    </row>
    <row r="34" spans="1:2">
      <c r="A34" t="s">
        <v>68</v>
      </c>
      <c r="B34" s="7">
        <v>2046200</v>
      </c>
    </row>
    <row r="35" spans="1:2">
      <c r="A35" t="s">
        <v>23</v>
      </c>
      <c r="B35" s="7">
        <v>946700</v>
      </c>
    </row>
    <row r="36" spans="1:2">
      <c r="A36" t="s">
        <v>258</v>
      </c>
      <c r="B36" s="7">
        <v>685401</v>
      </c>
    </row>
    <row r="37" spans="1:2">
      <c r="A37" t="s">
        <v>87</v>
      </c>
      <c r="B37" s="7">
        <v>393000</v>
      </c>
    </row>
    <row r="38" spans="1:2">
      <c r="A38" t="s">
        <v>361</v>
      </c>
      <c r="B38" s="7">
        <v>199501</v>
      </c>
    </row>
    <row r="39" spans="1:2">
      <c r="A39" t="s">
        <v>742</v>
      </c>
      <c r="B39" s="7">
        <v>4270802</v>
      </c>
    </row>
  </sheetData>
  <pageMargins left="0.7" right="0.7" top="0.75" bottom="0.75" header="0.3" footer="0.3"/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D9FC8-AA7F-4335-97A3-C93051E811E9}">
  <dimension ref="A1:C9"/>
  <sheetViews>
    <sheetView workbookViewId="0">
      <selection activeCell="D18" sqref="D18"/>
    </sheetView>
  </sheetViews>
  <sheetFormatPr defaultRowHeight="15"/>
  <cols>
    <col min="1" max="1" width="15.42578125" customWidth="1"/>
    <col min="2" max="2" width="12.5703125" bestFit="1" customWidth="1"/>
    <col min="3" max="3" width="13.42578125" bestFit="1" customWidth="1"/>
    <col min="4" max="4" width="10.7109375" customWidth="1"/>
  </cols>
  <sheetData>
    <row r="1" spans="1:3">
      <c r="A1" t="s">
        <v>778</v>
      </c>
    </row>
    <row r="3" spans="1:3">
      <c r="A3" t="s">
        <v>779</v>
      </c>
      <c r="B3" t="s">
        <v>738</v>
      </c>
      <c r="C3" t="s">
        <v>741</v>
      </c>
    </row>
    <row r="4" spans="1:3">
      <c r="A4" t="s">
        <v>26</v>
      </c>
      <c r="B4">
        <v>22</v>
      </c>
      <c r="C4" s="7">
        <v>22545.454545454544</v>
      </c>
    </row>
    <row r="5" spans="1:3">
      <c r="A5" t="s">
        <v>729</v>
      </c>
      <c r="B5">
        <v>63</v>
      </c>
      <c r="C5" s="7">
        <v>32473.047619047618</v>
      </c>
    </row>
    <row r="6" spans="1:3">
      <c r="A6" t="s">
        <v>731</v>
      </c>
      <c r="B6">
        <v>29</v>
      </c>
      <c r="C6" s="7">
        <v>48175.862068965514</v>
      </c>
    </row>
    <row r="7" spans="1:3">
      <c r="A7" t="s">
        <v>732</v>
      </c>
      <c r="B7">
        <v>14</v>
      </c>
      <c r="C7" s="7">
        <v>75085.71428571429</v>
      </c>
    </row>
    <row r="8" spans="1:3">
      <c r="A8" t="s">
        <v>734</v>
      </c>
      <c r="B8">
        <v>6</v>
      </c>
      <c r="C8" s="7">
        <v>113733.33333333333</v>
      </c>
    </row>
    <row r="9" spans="1:3">
      <c r="A9" t="s">
        <v>386</v>
      </c>
      <c r="B9">
        <v>3</v>
      </c>
      <c r="C9" s="7">
        <v>176566.66666666666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F0656-AFE0-480D-8CB2-4923F7344092}">
  <dimension ref="A1:F17"/>
  <sheetViews>
    <sheetView workbookViewId="0">
      <selection activeCell="F20" sqref="F20"/>
    </sheetView>
  </sheetViews>
  <sheetFormatPr defaultRowHeight="15"/>
  <cols>
    <col min="1" max="1" width="13.5703125" bestFit="1" customWidth="1"/>
    <col min="2" max="2" width="12.85546875" bestFit="1" customWidth="1"/>
    <col min="3" max="3" width="8.85546875" bestFit="1" customWidth="1"/>
    <col min="4" max="4" width="7.140625" bestFit="1" customWidth="1"/>
    <col min="5" max="5" width="9.85546875" bestFit="1" customWidth="1"/>
    <col min="6" max="7" width="11.7109375" bestFit="1" customWidth="1"/>
  </cols>
  <sheetData>
    <row r="1" spans="1:6">
      <c r="A1" t="s">
        <v>780</v>
      </c>
    </row>
    <row r="3" spans="1:6">
      <c r="A3" s="10" t="s">
        <v>738</v>
      </c>
      <c r="B3" s="10" t="s">
        <v>781</v>
      </c>
    </row>
    <row r="4" spans="1:6">
      <c r="A4" s="10" t="s">
        <v>776</v>
      </c>
      <c r="B4" t="s">
        <v>115</v>
      </c>
      <c r="C4" t="s">
        <v>31</v>
      </c>
      <c r="D4" t="s">
        <v>125</v>
      </c>
      <c r="E4" t="s">
        <v>534</v>
      </c>
      <c r="F4" t="s">
        <v>742</v>
      </c>
    </row>
    <row r="5" spans="1:6">
      <c r="A5" s="8">
        <v>45292</v>
      </c>
      <c r="B5" s="11"/>
      <c r="C5" s="11">
        <v>2</v>
      </c>
      <c r="D5" s="11"/>
      <c r="E5" s="11"/>
      <c r="F5" s="11">
        <v>2</v>
      </c>
    </row>
    <row r="6" spans="1:6">
      <c r="A6" s="8">
        <v>45323</v>
      </c>
      <c r="B6" s="11"/>
      <c r="C6" s="11">
        <v>6</v>
      </c>
      <c r="D6" s="11"/>
      <c r="E6" s="11"/>
      <c r="F6" s="11">
        <v>6</v>
      </c>
    </row>
    <row r="7" spans="1:6">
      <c r="A7" s="8">
        <v>45352</v>
      </c>
      <c r="B7" s="11">
        <v>1</v>
      </c>
      <c r="C7" s="11">
        <v>7</v>
      </c>
      <c r="D7" s="11">
        <v>1</v>
      </c>
      <c r="E7" s="11"/>
      <c r="F7" s="11">
        <v>9</v>
      </c>
    </row>
    <row r="8" spans="1:6">
      <c r="A8" s="8">
        <v>45383</v>
      </c>
      <c r="B8" s="11">
        <v>1</v>
      </c>
      <c r="C8" s="11">
        <v>8</v>
      </c>
      <c r="D8" s="11">
        <v>1</v>
      </c>
      <c r="E8" s="11"/>
      <c r="F8" s="11">
        <v>10</v>
      </c>
    </row>
    <row r="9" spans="1:6">
      <c r="A9" s="8">
        <v>45413</v>
      </c>
      <c r="B9" s="11">
        <v>2</v>
      </c>
      <c r="C9" s="11">
        <v>10</v>
      </c>
      <c r="D9" s="11"/>
      <c r="E9" s="11"/>
      <c r="F9" s="11">
        <v>12</v>
      </c>
    </row>
    <row r="10" spans="1:6">
      <c r="A10" s="8">
        <v>45444</v>
      </c>
      <c r="B10" s="11">
        <v>1</v>
      </c>
      <c r="C10" s="11">
        <v>12</v>
      </c>
      <c r="D10" s="11"/>
      <c r="E10" s="11"/>
      <c r="F10" s="11">
        <v>13</v>
      </c>
    </row>
    <row r="11" spans="1:6">
      <c r="A11" s="8">
        <v>45474</v>
      </c>
      <c r="B11" s="11">
        <v>1</v>
      </c>
      <c r="C11" s="11">
        <v>12</v>
      </c>
      <c r="D11" s="11">
        <v>1</v>
      </c>
      <c r="E11" s="11"/>
      <c r="F11" s="11">
        <v>14</v>
      </c>
    </row>
    <row r="12" spans="1:6">
      <c r="A12" s="8">
        <v>45505</v>
      </c>
      <c r="B12" s="11">
        <v>2</v>
      </c>
      <c r="C12" s="11">
        <v>13</v>
      </c>
      <c r="D12" s="11">
        <v>1</v>
      </c>
      <c r="E12" s="11"/>
      <c r="F12" s="11">
        <v>16</v>
      </c>
    </row>
    <row r="13" spans="1:6">
      <c r="A13" s="8">
        <v>45536</v>
      </c>
      <c r="B13" s="11">
        <v>1</v>
      </c>
      <c r="C13" s="11">
        <v>13</v>
      </c>
      <c r="D13" s="11">
        <v>1</v>
      </c>
      <c r="E13" s="11"/>
      <c r="F13" s="11">
        <v>15</v>
      </c>
    </row>
    <row r="14" spans="1:6">
      <c r="A14" s="8">
        <v>45566</v>
      </c>
      <c r="B14" s="11">
        <v>5</v>
      </c>
      <c r="C14" s="11">
        <v>7</v>
      </c>
      <c r="D14" s="11">
        <v>2</v>
      </c>
      <c r="E14" s="11">
        <v>1</v>
      </c>
      <c r="F14" s="11">
        <v>15</v>
      </c>
    </row>
    <row r="15" spans="1:6">
      <c r="A15" s="8">
        <v>45597</v>
      </c>
      <c r="B15" s="11">
        <v>6</v>
      </c>
      <c r="C15" s="11">
        <v>9</v>
      </c>
      <c r="D15" s="11"/>
      <c r="E15" s="11"/>
      <c r="F15" s="11">
        <v>15</v>
      </c>
    </row>
    <row r="16" spans="1:6">
      <c r="A16" s="8">
        <v>45627</v>
      </c>
      <c r="B16" s="11">
        <v>1</v>
      </c>
      <c r="C16" s="11">
        <v>9</v>
      </c>
      <c r="D16" s="11"/>
      <c r="E16" s="11"/>
      <c r="F16" s="11">
        <v>10</v>
      </c>
    </row>
    <row r="17" spans="1:6">
      <c r="A17" s="8" t="s">
        <v>742</v>
      </c>
      <c r="B17" s="11">
        <v>21</v>
      </c>
      <c r="C17" s="11">
        <v>108</v>
      </c>
      <c r="D17" s="11">
        <v>7</v>
      </c>
      <c r="E17" s="11">
        <v>1</v>
      </c>
      <c r="F17" s="11">
        <v>137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3FA4E-5E96-46C2-83DF-3DA7AAC7E8D1}">
  <dimension ref="A1:D10"/>
  <sheetViews>
    <sheetView tabSelected="1" workbookViewId="0">
      <selection activeCell="D19" sqref="D19"/>
    </sheetView>
  </sheetViews>
  <sheetFormatPr defaultRowHeight="15"/>
  <cols>
    <col min="1" max="1" width="17.42578125" bestFit="1" customWidth="1"/>
    <col min="2" max="2" width="19.85546875" bestFit="1" customWidth="1"/>
    <col min="3" max="3" width="11" bestFit="1" customWidth="1"/>
    <col min="4" max="4" width="11.7109375" bestFit="1" customWidth="1"/>
  </cols>
  <sheetData>
    <row r="1" spans="1:4">
      <c r="A1" t="s">
        <v>782</v>
      </c>
    </row>
    <row r="4" spans="1:4">
      <c r="A4" s="10" t="s">
        <v>739</v>
      </c>
      <c r="B4" s="10" t="s">
        <v>770</v>
      </c>
    </row>
    <row r="5" spans="1:4">
      <c r="A5" s="10" t="s">
        <v>769</v>
      </c>
      <c r="B5" t="s">
        <v>103</v>
      </c>
      <c r="C5" t="s">
        <v>25</v>
      </c>
      <c r="D5" t="s">
        <v>742</v>
      </c>
    </row>
    <row r="6" spans="1:4">
      <c r="A6" t="s">
        <v>44</v>
      </c>
      <c r="B6" s="7">
        <v>1160500</v>
      </c>
      <c r="C6" s="7">
        <v>1260801</v>
      </c>
      <c r="D6" s="7">
        <v>2421301</v>
      </c>
    </row>
    <row r="7" spans="1:4">
      <c r="A7" t="s">
        <v>30</v>
      </c>
      <c r="B7" s="7">
        <v>770900</v>
      </c>
      <c r="C7" s="7">
        <v>581100</v>
      </c>
      <c r="D7" s="7">
        <v>1352000</v>
      </c>
    </row>
    <row r="8" spans="1:4">
      <c r="A8" t="s">
        <v>93</v>
      </c>
      <c r="B8" s="7"/>
      <c r="C8" s="7">
        <v>1248001</v>
      </c>
      <c r="D8" s="7">
        <v>1248001</v>
      </c>
    </row>
    <row r="9" spans="1:4">
      <c r="A9" t="s">
        <v>81</v>
      </c>
      <c r="B9" s="7"/>
      <c r="C9" s="7">
        <v>1180900</v>
      </c>
      <c r="D9" s="7">
        <v>1180900</v>
      </c>
    </row>
    <row r="10" spans="1:4">
      <c r="A10" t="s">
        <v>742</v>
      </c>
      <c r="B10" s="7">
        <v>1931400</v>
      </c>
      <c r="C10" s="7">
        <v>4270802</v>
      </c>
      <c r="D10" s="7">
        <v>6202202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3780-98D0-4484-B28A-5ED51962C544}">
  <dimension ref="A1:A41"/>
  <sheetViews>
    <sheetView topLeftCell="A16" workbookViewId="0">
      <selection activeCell="A19" sqref="A19"/>
    </sheetView>
  </sheetViews>
  <sheetFormatPr defaultRowHeight="15"/>
  <sheetData>
    <row r="1" spans="1:1">
      <c r="A1" t="s">
        <v>783</v>
      </c>
    </row>
    <row r="2" spans="1:1">
      <c r="A2" t="s">
        <v>784</v>
      </c>
    </row>
    <row r="4" spans="1:1">
      <c r="A4" s="19" t="s">
        <v>785</v>
      </c>
    </row>
    <row r="5" spans="1:1">
      <c r="A5" t="s">
        <v>786</v>
      </c>
    </row>
    <row r="6" spans="1:1">
      <c r="A6" t="s">
        <v>787</v>
      </c>
    </row>
    <row r="7" spans="1:1">
      <c r="A7" t="s">
        <v>788</v>
      </c>
    </row>
    <row r="8" spans="1:1">
      <c r="A8" t="s">
        <v>789</v>
      </c>
    </row>
    <row r="10" spans="1:1">
      <c r="A10" t="s">
        <v>790</v>
      </c>
    </row>
    <row r="11" spans="1:1">
      <c r="A11" t="s">
        <v>791</v>
      </c>
    </row>
    <row r="13" spans="1:1">
      <c r="A13" t="s">
        <v>792</v>
      </c>
    </row>
    <row r="14" spans="1:1">
      <c r="A14" s="19" t="s">
        <v>793</v>
      </c>
    </row>
    <row r="15" spans="1:1">
      <c r="A15" t="s">
        <v>794</v>
      </c>
    </row>
    <row r="16" spans="1:1">
      <c r="A16" t="s">
        <v>795</v>
      </c>
    </row>
    <row r="18" spans="1:1">
      <c r="A18" t="s">
        <v>796</v>
      </c>
    </row>
    <row r="19" spans="1:1">
      <c r="A19" t="s">
        <v>797</v>
      </c>
    </row>
    <row r="20" spans="1:1">
      <c r="A20" t="s">
        <v>798</v>
      </c>
    </row>
    <row r="22" spans="1:1">
      <c r="A22" t="s">
        <v>799</v>
      </c>
    </row>
    <row r="23" spans="1:1">
      <c r="A23" t="s">
        <v>800</v>
      </c>
    </row>
    <row r="24" spans="1:1">
      <c r="A24" t="s">
        <v>801</v>
      </c>
    </row>
    <row r="25" spans="1:1">
      <c r="A25" t="s">
        <v>802</v>
      </c>
    </row>
    <row r="26" spans="1:1">
      <c r="A26" t="s">
        <v>803</v>
      </c>
    </row>
    <row r="27" spans="1:1">
      <c r="A27" t="s">
        <v>804</v>
      </c>
    </row>
    <row r="29" spans="1:1">
      <c r="A29" t="s">
        <v>805</v>
      </c>
    </row>
    <row r="31" spans="1:1">
      <c r="A31" s="18" t="s">
        <v>806</v>
      </c>
    </row>
    <row r="32" spans="1:1">
      <c r="A32" t="s">
        <v>807</v>
      </c>
    </row>
    <row r="33" spans="1:1">
      <c r="A33" t="s">
        <v>808</v>
      </c>
    </row>
    <row r="34" spans="1:1">
      <c r="A34" t="s">
        <v>809</v>
      </c>
    </row>
    <row r="35" spans="1:1">
      <c r="A35" t="s">
        <v>810</v>
      </c>
    </row>
    <row r="37" spans="1:1">
      <c r="A37" t="s">
        <v>811</v>
      </c>
    </row>
    <row r="38" spans="1:1">
      <c r="A38" t="s">
        <v>812</v>
      </c>
    </row>
    <row r="40" spans="1:1">
      <c r="A40" t="s">
        <v>813</v>
      </c>
    </row>
    <row r="41" spans="1:1">
      <c r="A41" t="s">
        <v>814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AF56-D95A-4037-A258-240C0FB2E4A2}">
  <dimension ref="A1:A92"/>
  <sheetViews>
    <sheetView topLeftCell="A18" workbookViewId="0">
      <selection activeCell="A41" sqref="A41"/>
    </sheetView>
  </sheetViews>
  <sheetFormatPr defaultRowHeight="15"/>
  <cols>
    <col min="1" max="1" width="255.7109375" bestFit="1" customWidth="1"/>
  </cols>
  <sheetData>
    <row r="1" spans="1:1">
      <c r="A1" t="s">
        <v>815</v>
      </c>
    </row>
    <row r="3" spans="1:1">
      <c r="A3" t="s">
        <v>816</v>
      </c>
    </row>
    <row r="5" spans="1:1">
      <c r="A5" t="s">
        <v>817</v>
      </c>
    </row>
    <row r="6" spans="1:1">
      <c r="A6" t="s">
        <v>818</v>
      </c>
    </row>
    <row r="7" spans="1:1">
      <c r="A7" t="s">
        <v>819</v>
      </c>
    </row>
    <row r="8" spans="1:1">
      <c r="A8" t="s">
        <v>820</v>
      </c>
    </row>
    <row r="9" spans="1:1">
      <c r="A9" t="s">
        <v>821</v>
      </c>
    </row>
    <row r="10" spans="1:1">
      <c r="A10" t="s">
        <v>822</v>
      </c>
    </row>
    <row r="13" spans="1:1">
      <c r="A13" t="s">
        <v>823</v>
      </c>
    </row>
    <row r="14" spans="1:1">
      <c r="A14" t="s">
        <v>824</v>
      </c>
    </row>
    <row r="15" spans="1:1">
      <c r="A15" t="s">
        <v>825</v>
      </c>
    </row>
    <row r="16" spans="1:1">
      <c r="A16" t="s">
        <v>826</v>
      </c>
    </row>
    <row r="17" spans="1:1">
      <c r="A17" t="s">
        <v>827</v>
      </c>
    </row>
    <row r="18" spans="1:1">
      <c r="A18" t="s">
        <v>828</v>
      </c>
    </row>
    <row r="19" spans="1:1">
      <c r="A19" t="s">
        <v>829</v>
      </c>
    </row>
    <row r="21" spans="1:1">
      <c r="A21" t="s">
        <v>824</v>
      </c>
    </row>
    <row r="22" spans="1:1">
      <c r="A22" t="s">
        <v>830</v>
      </c>
    </row>
    <row r="23" spans="1:1">
      <c r="A23" t="s">
        <v>826</v>
      </c>
    </row>
    <row r="24" spans="1:1">
      <c r="A24" t="s">
        <v>831</v>
      </c>
    </row>
    <row r="25" spans="1:1">
      <c r="A25" t="s">
        <v>832</v>
      </c>
    </row>
    <row r="26" spans="1:1">
      <c r="A26" t="s">
        <v>833</v>
      </c>
    </row>
    <row r="29" spans="1:1">
      <c r="A29" t="s">
        <v>834</v>
      </c>
    </row>
    <row r="30" spans="1:1">
      <c r="A30" t="s">
        <v>824</v>
      </c>
    </row>
    <row r="31" spans="1:1">
      <c r="A31" t="s">
        <v>835</v>
      </c>
    </row>
    <row r="32" spans="1:1">
      <c r="A32" t="s">
        <v>826</v>
      </c>
    </row>
    <row r="33" spans="1:1">
      <c r="A33" t="s">
        <v>836</v>
      </c>
    </row>
    <row r="34" spans="1:1">
      <c r="A34" t="s">
        <v>837</v>
      </c>
    </row>
    <row r="35" spans="1:1">
      <c r="A35" t="s">
        <v>838</v>
      </c>
    </row>
    <row r="37" spans="1:1">
      <c r="A37" t="s">
        <v>824</v>
      </c>
    </row>
    <row r="38" spans="1:1">
      <c r="A38" t="s">
        <v>839</v>
      </c>
    </row>
    <row r="39" spans="1:1">
      <c r="A39" t="s">
        <v>826</v>
      </c>
    </row>
    <row r="40" spans="1:1">
      <c r="A40" t="s">
        <v>840</v>
      </c>
    </row>
    <row r="41" spans="1:1">
      <c r="A41" t="s">
        <v>841</v>
      </c>
    </row>
    <row r="42" spans="1:1">
      <c r="A42" t="s">
        <v>842</v>
      </c>
    </row>
    <row r="45" spans="1:1">
      <c r="A45" t="s">
        <v>843</v>
      </c>
    </row>
    <row r="46" spans="1:1">
      <c r="A46" t="s">
        <v>824</v>
      </c>
    </row>
    <row r="47" spans="1:1">
      <c r="A47" t="s">
        <v>844</v>
      </c>
    </row>
    <row r="48" spans="1:1">
      <c r="A48" t="s">
        <v>826</v>
      </c>
    </row>
    <row r="49" spans="1:1">
      <c r="A49" t="s">
        <v>845</v>
      </c>
    </row>
    <row r="50" spans="1:1">
      <c r="A50" t="s">
        <v>846</v>
      </c>
    </row>
    <row r="51" spans="1:1">
      <c r="A51" t="s">
        <v>847</v>
      </c>
    </row>
    <row r="52" spans="1:1">
      <c r="A52" t="s">
        <v>848</v>
      </c>
    </row>
    <row r="54" spans="1:1">
      <c r="A54" t="s">
        <v>824</v>
      </c>
    </row>
    <row r="55" spans="1:1">
      <c r="A55" t="s">
        <v>849</v>
      </c>
    </row>
    <row r="56" spans="1:1">
      <c r="A56" t="s">
        <v>826</v>
      </c>
    </row>
    <row r="57" spans="1:1">
      <c r="A57" t="s">
        <v>850</v>
      </c>
    </row>
    <row r="58" spans="1:1">
      <c r="A58" t="s">
        <v>851</v>
      </c>
    </row>
    <row r="59" spans="1:1">
      <c r="A59" t="s">
        <v>852</v>
      </c>
    </row>
    <row r="62" spans="1:1">
      <c r="A62" t="s">
        <v>853</v>
      </c>
    </row>
    <row r="63" spans="1:1">
      <c r="A63" t="s">
        <v>824</v>
      </c>
    </row>
    <row r="64" spans="1:1">
      <c r="A64" t="s">
        <v>854</v>
      </c>
    </row>
    <row r="65" spans="1:1">
      <c r="A65" t="s">
        <v>826</v>
      </c>
    </row>
    <row r="66" spans="1:1">
      <c r="A66" t="s">
        <v>855</v>
      </c>
    </row>
    <row r="67" spans="1:1">
      <c r="A67" t="s">
        <v>856</v>
      </c>
    </row>
    <row r="68" spans="1:1">
      <c r="A68" t="s">
        <v>857</v>
      </c>
    </row>
    <row r="70" spans="1:1">
      <c r="A70" t="s">
        <v>824</v>
      </c>
    </row>
    <row r="71" spans="1:1">
      <c r="A71" t="s">
        <v>858</v>
      </c>
    </row>
    <row r="72" spans="1:1">
      <c r="A72" t="s">
        <v>826</v>
      </c>
    </row>
    <row r="73" spans="1:1">
      <c r="A73" t="s">
        <v>859</v>
      </c>
    </row>
    <row r="74" spans="1:1">
      <c r="A74" t="s">
        <v>860</v>
      </c>
    </row>
    <row r="75" spans="1:1">
      <c r="A75" t="s">
        <v>861</v>
      </c>
    </row>
    <row r="78" spans="1:1">
      <c r="A78" t="s">
        <v>862</v>
      </c>
    </row>
    <row r="79" spans="1:1">
      <c r="A79" t="s">
        <v>824</v>
      </c>
    </row>
    <row r="80" spans="1:1">
      <c r="A80" t="s">
        <v>863</v>
      </c>
    </row>
    <row r="81" spans="1:1">
      <c r="A81" t="s">
        <v>826</v>
      </c>
    </row>
    <row r="82" spans="1:1">
      <c r="A82" t="s">
        <v>864</v>
      </c>
    </row>
    <row r="83" spans="1:1">
      <c r="A83" t="s">
        <v>865</v>
      </c>
    </row>
    <row r="84" spans="1:1">
      <c r="A84" t="s">
        <v>866</v>
      </c>
    </row>
    <row r="85" spans="1:1">
      <c r="A85" t="s">
        <v>867</v>
      </c>
    </row>
    <row r="87" spans="1:1">
      <c r="A87" t="s">
        <v>824</v>
      </c>
    </row>
    <row r="88" spans="1:1">
      <c r="A88" t="s">
        <v>868</v>
      </c>
    </row>
    <row r="89" spans="1:1">
      <c r="A89" t="s">
        <v>826</v>
      </c>
    </row>
    <row r="90" spans="1:1">
      <c r="A90" t="s">
        <v>869</v>
      </c>
    </row>
    <row r="91" spans="1:1">
      <c r="A91" t="s">
        <v>870</v>
      </c>
    </row>
    <row r="92" spans="1:1">
      <c r="A92" t="s">
        <v>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2025-06-11T20:38:48Z</dcterms:created>
  <dcterms:modified xsi:type="dcterms:W3CDTF">2026-08-03T23:13:52Z</dcterms:modified>
  <cp:category/>
  <cp:contentStatus/>
</cp:coreProperties>
</file>